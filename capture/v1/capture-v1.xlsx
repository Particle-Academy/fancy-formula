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es" sheetId="1" r:id="rId1"/>
    <sheet name="Inputs" sheetId="2" r:id="rId2"/>
    <sheet name="About" sheetId="3" r:id="r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sz val="11"/>
      <b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 t="inlineStr">
        <is>
          <t xml:space="preserve">id</t>
        </is>
      </c>
      <c r="B1" s="1" t="inlineStr">
        <is>
          <t xml:space="preserve">formula</t>
        </is>
      </c>
      <c r="C1" s="1" t="inlineStr">
        <is>
          <t xml:space="preserve">type</t>
        </is>
      </c>
      <c r="D1" s="1" t="inlineStr">
        <is>
          <t xml:space="preserve">error_type</t>
        </is>
      </c>
      <c r="E1" s="1" t="inlineStr">
        <is>
          <t xml:space="preserve">length</t>
        </is>
      </c>
    </row>
    <row r="2">
      <c r="A2" t="inlineStr">
        <is>
          <t xml:space="preserve">K-0001</t>
        </is>
      </c>
      <c r="B2">
        <f>1+1</f>
      </c>
      <c r="C2">
        <f>TYPE(B2)</f>
      </c>
      <c r="D2">
        <f>IFERROR(ERROR.TYPE(B2),"")</f>
      </c>
      <c r="E2">
        <f>LEN(B2&amp;"")</f>
      </c>
    </row>
    <row r="3">
      <c r="A3" s="2" t="inlineStr">
        <is>
          <t xml:space="preserve">K-0002</t>
        </is>
      </c>
      <c r="B3" s="2">
        <f>0.1+0.2</f>
      </c>
      <c r="C3" s="2">
        <f>TYPE(B3)</f>
      </c>
      <c r="D3" s="2">
        <f>IFERROR(ERROR.TYPE(B3),"")</f>
      </c>
      <c r="E3" s="2">
        <f>LEN(B3&amp;"")</f>
      </c>
    </row>
    <row r="4">
      <c r="A4" t="inlineStr">
        <is>
          <t xml:space="preserve">P-0001</t>
        </is>
      </c>
      <c r="B4">
        <f>-2^2</f>
      </c>
      <c r="C4">
        <f>TYPE(B4)</f>
      </c>
      <c r="D4">
        <f>IFERROR(ERROR.TYPE(B4),"")</f>
      </c>
      <c r="E4">
        <f>LEN(B4&amp;"")</f>
      </c>
    </row>
    <row r="5">
      <c r="A5" s="2" t="inlineStr">
        <is>
          <t xml:space="preserve">P-0002</t>
        </is>
      </c>
      <c r="B5" s="2">
        <f>0-2^2</f>
      </c>
      <c r="C5" s="2">
        <f>TYPE(B5)</f>
      </c>
      <c r="D5" s="2">
        <f>IFERROR(ERROR.TYPE(B5),"")</f>
      </c>
      <c r="E5" s="2">
        <f>LEN(B5&amp;"")</f>
      </c>
    </row>
    <row r="6">
      <c r="A6" t="inlineStr">
        <is>
          <t xml:space="preserve">P-0003</t>
        </is>
      </c>
      <c r="B6">
        <f>2^3^2</f>
      </c>
      <c r="C6">
        <f>TYPE(B6)</f>
      </c>
      <c r="D6">
        <f>IFERROR(ERROR.TYPE(B6),"")</f>
      </c>
      <c r="E6">
        <f>LEN(B6&amp;"")</f>
      </c>
    </row>
    <row r="7">
      <c r="A7" s="2" t="inlineStr">
        <is>
          <t xml:space="preserve">P-0004</t>
        </is>
      </c>
      <c r="B7" s="2">
        <f>-2^0.5</f>
      </c>
      <c r="C7" s="2">
        <f>TYPE(B7)</f>
      </c>
      <c r="D7" s="2">
        <f>IFERROR(ERROR.TYPE(B7),"")</f>
      </c>
      <c r="E7" s="2">
        <f>LEN(B7&amp;"")</f>
      </c>
    </row>
    <row r="8">
      <c r="A8" t="inlineStr">
        <is>
          <t xml:space="preserve">P-0005</t>
        </is>
      </c>
      <c r="B8">
        <f>50%</f>
      </c>
      <c r="C8">
        <f>TYPE(B8)</f>
      </c>
      <c r="D8">
        <f>IFERROR(ERROR.TYPE(B8),"")</f>
      </c>
      <c r="E8">
        <f>LEN(B8&amp;"")</f>
      </c>
    </row>
    <row r="9">
      <c r="A9" s="2" t="inlineStr">
        <is>
          <t xml:space="preserve">P-0006</t>
        </is>
      </c>
      <c r="B9" s="2">
        <f>2*50%</f>
      </c>
      <c r="C9" s="2">
        <f>TYPE(B9)</f>
      </c>
      <c r="D9" s="2">
        <f>IFERROR(ERROR.TYPE(B9),"")</f>
      </c>
      <c r="E9" s="2">
        <f>LEN(B9&amp;"")</f>
      </c>
    </row>
    <row r="10">
      <c r="A10" t="inlineStr">
        <is>
          <t xml:space="preserve">P-0007</t>
        </is>
      </c>
      <c r="B10">
        <f>2^50%</f>
      </c>
      <c r="C10">
        <f>TYPE(B10)</f>
      </c>
      <c r="D10">
        <f>IFERROR(ERROR.TYPE(B10),"")</f>
      </c>
      <c r="E10">
        <f>LEN(B10&amp;"")</f>
      </c>
    </row>
    <row r="11">
      <c r="A11" s="2" t="inlineStr">
        <is>
          <t xml:space="preserve">P-0008</t>
        </is>
      </c>
      <c r="B11" s="2">
        <f>-50%</f>
      </c>
      <c r="C11" s="2">
        <f>TYPE(B11)</f>
      </c>
      <c r="D11" s="2">
        <f>IFERROR(ERROR.TYPE(B11),"")</f>
      </c>
      <c r="E11" s="2">
        <f>LEN(B11&amp;"")</f>
      </c>
    </row>
    <row r="12">
      <c r="A12" t="inlineStr">
        <is>
          <t xml:space="preserve">P-0009</t>
        </is>
      </c>
      <c r="B12">
        <f>10%%</f>
      </c>
      <c r="C12">
        <f>TYPE(B12)</f>
      </c>
      <c r="D12">
        <f>IFERROR(ERROR.TYPE(B12),"")</f>
      </c>
      <c r="E12">
        <f>LEN(B12&amp;"")</f>
      </c>
    </row>
    <row r="13">
      <c r="A13" s="2" t="inlineStr">
        <is>
          <t xml:space="preserve">P-0010</t>
        </is>
      </c>
      <c r="B13" s="2">
        <f>1+2*3</f>
      </c>
      <c r="C13" s="2">
        <f>TYPE(B13)</f>
      </c>
      <c r="D13" s="2">
        <f>IFERROR(ERROR.TYPE(B13),"")</f>
      </c>
      <c r="E13" s="2">
        <f>LEN(B13&amp;"")</f>
      </c>
    </row>
    <row r="14">
      <c r="A14" t="inlineStr">
        <is>
          <t xml:space="preserve">P-0011</t>
        </is>
      </c>
      <c r="B14">
        <f>(1+2)*3</f>
      </c>
      <c r="C14">
        <f>TYPE(B14)</f>
      </c>
      <c r="D14">
        <f>IFERROR(ERROR.TYPE(B14),"")</f>
      </c>
      <c r="E14">
        <f>LEN(B14&amp;"")</f>
      </c>
    </row>
    <row r="15">
      <c r="A15" s="2" t="inlineStr">
        <is>
          <t xml:space="preserve">P-0012</t>
        </is>
      </c>
      <c r="B15" s="2">
        <f>"a"&amp;1+2</f>
      </c>
      <c r="C15" s="2">
        <f>TYPE(B15)</f>
      </c>
      <c r="D15" s="2">
        <f>IFERROR(ERROR.TYPE(B15),"")</f>
      </c>
      <c r="E15" s="2">
        <f>LEN(B15&amp;"")</f>
      </c>
    </row>
    <row r="16">
      <c r="A16" t="inlineStr">
        <is>
          <t xml:space="preserve">P-0013</t>
        </is>
      </c>
      <c r="B16">
        <f>1&amp;2=12</f>
      </c>
      <c r="C16">
        <f>TYPE(B16)</f>
      </c>
      <c r="D16">
        <f>IFERROR(ERROR.TYPE(B16),"")</f>
      </c>
      <c r="E16">
        <f>LEN(B16&amp;"")</f>
      </c>
    </row>
    <row r="17">
      <c r="A17" s="2" t="inlineStr">
        <is>
          <t xml:space="preserve">P-0014</t>
        </is>
      </c>
      <c r="B17" s="2">
        <f>1=1=TRUE</f>
      </c>
      <c r="C17" s="2">
        <f>TYPE(B17)</f>
      </c>
      <c r="D17" s="2">
        <f>IFERROR(ERROR.TYPE(B17),"")</f>
      </c>
      <c r="E17" s="2">
        <f>LEN(B17&amp;"")</f>
      </c>
    </row>
    <row r="18">
      <c r="A18" t="inlineStr">
        <is>
          <t xml:space="preserve">P-0015</t>
        </is>
      </c>
      <c r="B18">
        <f>--"3"</f>
      </c>
      <c r="C18">
        <f>TYPE(B18)</f>
      </c>
      <c r="D18">
        <f>IFERROR(ERROR.TYPE(B18),"")</f>
      </c>
      <c r="E18">
        <f>LEN(B18&amp;"")</f>
      </c>
    </row>
    <row r="19">
      <c r="A19" s="2" t="inlineStr">
        <is>
          <t xml:space="preserve">P-0016</t>
        </is>
      </c>
      <c r="B19" s="2">
        <f>+"3"</f>
      </c>
      <c r="C19" s="2">
        <f>TYPE(B19)</f>
      </c>
      <c r="D19" s="2">
        <f>IFERROR(ERROR.TYPE(B19),"")</f>
      </c>
      <c r="E19" s="2">
        <f>LEN(B19&amp;"")</f>
      </c>
    </row>
    <row r="20">
      <c r="A20" t="inlineStr">
        <is>
          <t xml:space="preserve">P-0017</t>
        </is>
      </c>
      <c r="B20">
        <f>"say ""hi"""</f>
      </c>
      <c r="C20">
        <f>TYPE(B20)</f>
      </c>
      <c r="D20">
        <f>IFERROR(ERROR.TYPE(B20),"")</f>
      </c>
      <c r="E20">
        <f>LEN(B20&amp;"")</f>
      </c>
    </row>
    <row r="21">
      <c r="A21" s="2" t="inlineStr">
        <is>
          <t xml:space="preserve">P-0018</t>
        </is>
      </c>
      <c r="B21" s="2">
        <f>.5+1E2</f>
      </c>
      <c r="C21" s="2">
        <f>TYPE(B21)</f>
      </c>
      <c r="D21" s="2">
        <f>IFERROR(ERROR.TYPE(B21),"")</f>
      </c>
      <c r="E21" s="2">
        <f>LEN(B21&amp;"")</f>
      </c>
    </row>
    <row r="22">
      <c r="A22" t="inlineStr">
        <is>
          <t xml:space="preserve">P-0019</t>
        </is>
      </c>
      <c r="B22">
        <f>1E-3*1000</f>
      </c>
      <c r="C22">
        <f>TYPE(B22)</f>
      </c>
      <c r="D22">
        <f>IFERROR(ERROR.TYPE(B22),"")</f>
      </c>
      <c r="E22">
        <f>LEN(B22&amp;"")</f>
      </c>
    </row>
    <row r="23">
      <c r="A23" s="2" t="inlineStr">
        <is>
          <t xml:space="preserve">P-0020</t>
        </is>
      </c>
      <c r="B23" s="2">
        <f>SUM({1,2;3,4})</f>
      </c>
      <c r="C23" s="2">
        <f>TYPE(B23)</f>
      </c>
      <c r="D23" s="2">
        <f>IFERROR(ERROR.TYPE(B23),"")</f>
      </c>
      <c r="E23" s="2">
        <f>LEN(B23&amp;"")</f>
      </c>
    </row>
    <row r="24">
      <c r="A24" t="inlineStr">
        <is>
          <t xml:space="preserve">P-0021</t>
        </is>
      </c>
      <c r="B24">
        <f>ROWS({1,2;3,4})</f>
      </c>
      <c r="C24">
        <f>TYPE(B24)</f>
      </c>
      <c r="D24">
        <f>IFERROR(ERROR.TYPE(B24),"")</f>
      </c>
      <c r="E24">
        <f>LEN(B24&amp;"")</f>
      </c>
    </row>
    <row r="25">
      <c r="A25" s="2" t="inlineStr">
        <is>
          <t xml:space="preserve">P-0022</t>
        </is>
      </c>
      <c r="B25" s="2">
        <f>COLUMNS({1,2,3})</f>
      </c>
      <c r="C25" s="2">
        <f>TYPE(B25)</f>
      </c>
      <c r="D25" s="2">
        <f>IFERROR(ERROR.TYPE(B25),"")</f>
      </c>
      <c r="E25" s="2">
        <f>LEN(B25&amp;"")</f>
      </c>
    </row>
    <row r="26">
      <c r="A26" t="inlineStr">
        <is>
          <t xml:space="preserve">P-0023</t>
        </is>
      </c>
      <c r="B26">
        <f>SUM({1,2}*{3,4})</f>
      </c>
      <c r="C26">
        <f>TYPE(B26)</f>
      </c>
      <c r="D26">
        <f>IFERROR(ERROR.TYPE(B26),"")</f>
      </c>
      <c r="E26">
        <f>LEN(B26&amp;"")</f>
      </c>
    </row>
    <row r="27">
      <c r="A27" s="2" t="inlineStr">
        <is>
          <t xml:space="preserve">P-0024</t>
        </is>
      </c>
      <c r="B27" s="2">
        <f>sum(1,2)</f>
      </c>
      <c r="C27" s="2">
        <f>TYPE(B27)</f>
      </c>
      <c r="D27" s="2">
        <f>IFERROR(ERROR.TYPE(B27),"")</f>
      </c>
      <c r="E27" s="2">
        <f>LEN(B27&amp;"")</f>
      </c>
    </row>
    <row r="28">
      <c r="A28" t="inlineStr">
        <is>
          <t xml:space="preserve">P-0025</t>
        </is>
      </c>
      <c r="B28">
        <f>SUM(Inputs!B1:B5)</f>
      </c>
      <c r="C28">
        <f>TYPE(B28)</f>
      </c>
      <c r="D28">
        <f>IFERROR(ERROR.TYPE(B28),"")</f>
      </c>
      <c r="E28">
        <f>LEN(B28&amp;"")</f>
      </c>
    </row>
    <row r="29">
      <c r="A29" s="2" t="inlineStr">
        <is>
          <t xml:space="preserve">P-0026</t>
        </is>
      </c>
      <c r="B29" s="2">
        <f>SUM(Inputs!$B$1:$B$5)</f>
      </c>
      <c r="C29" s="2">
        <f>TYPE(B29)</f>
      </c>
      <c r="D29" s="2">
        <f>IFERROR(ERROR.TYPE(B29),"")</f>
      </c>
      <c r="E29" s="2">
        <f>LEN(B29&amp;"")</f>
      </c>
    </row>
    <row r="30">
      <c r="A30" t="inlineStr">
        <is>
          <t xml:space="preserve">P-0027</t>
        </is>
      </c>
      <c r="B30">
        <f>SUM(Inputs!B:B)</f>
      </c>
      <c r="C30">
        <f>TYPE(B30)</f>
      </c>
      <c r="D30">
        <f>IFERROR(ERROR.TYPE(B30),"")</f>
      </c>
      <c r="E30">
        <f>LEN(B30&amp;"")</f>
      </c>
    </row>
    <row r="31">
      <c r="A31" s="2" t="inlineStr">
        <is>
          <t xml:space="preserve">P-0028</t>
        </is>
      </c>
      <c r="B31" s="2">
        <f>INDEX({10,20;30,40},2,1)</f>
      </c>
      <c r="C31" s="2">
        <f>TYPE(B31)</f>
      </c>
      <c r="D31" s="2">
        <f>IFERROR(ERROR.TYPE(B31),"")</f>
      </c>
      <c r="E31" s="2">
        <f>LEN(B31&amp;"")</f>
      </c>
    </row>
    <row r="32">
      <c r="A32" t="inlineStr">
        <is>
          <t xml:space="preserve">P-0029</t>
        </is>
      </c>
      <c r="B32">
        <f>SUM({Inputs!B1,Inputs!B2})</f>
      </c>
      <c r="C32">
        <f>TYPE(B32)</f>
      </c>
      <c r="D32">
        <f>IFERROR(ERROR.TYPE(B32),"")</f>
      </c>
      <c r="E32">
        <f>LEN(B32&amp;"")</f>
      </c>
    </row>
    <row r="33">
      <c r="A33" s="2" t="inlineStr">
        <is>
          <t xml:space="preserve">P-0030</t>
        </is>
      </c>
      <c r="B33" s="2">
        <f>ERROR.TYPE(#NULL!)</f>
      </c>
      <c r="C33" s="2">
        <f>TYPE(B33)</f>
      </c>
      <c r="D33" s="2">
        <f>IFERROR(ERROR.TYPE(B33),"")</f>
      </c>
      <c r="E33" s="2">
        <f>LEN(B33&amp;"")</f>
      </c>
    </row>
    <row r="34">
      <c r="A34" t="inlineStr">
        <is>
          <t xml:space="preserve">P-0031</t>
        </is>
      </c>
      <c r="B34">
        <f>ERROR.TYPE(#ERROR!)</f>
      </c>
      <c r="C34">
        <f>TYPE(B34)</f>
      </c>
      <c r="D34">
        <f>IFERROR(ERROR.TYPE(B34),"")</f>
      </c>
      <c r="E34">
        <f>LEN(B34&amp;"")</f>
      </c>
    </row>
    <row r="35">
      <c r="A35" s="2" t="inlineStr">
        <is>
          <t xml:space="preserve">P-0032</t>
        </is>
      </c>
      <c r="B35" s="2">
        <f>ERROR.TYPE(#N/A)</f>
      </c>
      <c r="C35" s="2">
        <f>TYPE(B35)</f>
      </c>
      <c r="D35" s="2">
        <f>IFERROR(ERROR.TYPE(B35),"")</f>
      </c>
      <c r="E35" s="2">
        <f>LEN(B35&amp;"")</f>
      </c>
    </row>
    <row r="36">
      <c r="A36" t="inlineStr">
        <is>
          <t xml:space="preserve">P-0033</t>
        </is>
      </c>
      <c r="B36">
        <f>1/0</f>
      </c>
      <c r="C36">
        <f>TYPE(B36)</f>
      </c>
      <c r="D36">
        <f>IFERROR(ERROR.TYPE(B36),"")</f>
      </c>
      <c r="E36">
        <f>LEN(B36&amp;"")</f>
      </c>
    </row>
    <row r="37">
      <c r="A37" s="2" t="inlineStr">
        <is>
          <t xml:space="preserve">P-0034</t>
        </is>
      </c>
      <c r="B37" s="2">
        <f>TRUE+TRUE</f>
      </c>
      <c r="C37" s="2">
        <f>TYPE(B37)</f>
      </c>
      <c r="D37" s="2">
        <f>IFERROR(ERROR.TYPE(B37),"")</f>
      </c>
      <c r="E37" s="2">
        <f>LEN(B37&amp;"")</f>
      </c>
    </row>
    <row r="38">
      <c r="A38" t="inlineStr">
        <is>
          <t xml:space="preserve">P-0035</t>
        </is>
      </c>
      <c r="B38">
        <f>2^-1</f>
      </c>
      <c r="C38">
        <f>TYPE(B38)</f>
      </c>
      <c r="D38">
        <f>IFERROR(ERROR.TYPE(B38),"")</f>
      </c>
      <c r="E38">
        <f>LEN(B38&amp;"")</f>
      </c>
    </row>
    <row r="39">
      <c r="A39" s="2" t="inlineStr">
        <is>
          <t xml:space="preserve">P-0036</t>
        </is>
      </c>
      <c r="B39" s="2">
        <f>-(-3)</f>
      </c>
      <c r="C39" s="2">
        <f>TYPE(B39)</f>
      </c>
      <c r="D39" s="2">
        <f>IFERROR(ERROR.TYPE(B39),"")</f>
      </c>
      <c r="E39" s="2">
        <f>LEN(B39&amp;"")</f>
      </c>
    </row>
    <row r="40">
      <c r="A40" t="inlineStr">
        <is>
          <t xml:space="preserve">P-0037</t>
        </is>
      </c>
      <c r="B40">
        <f>3-(-2)</f>
      </c>
      <c r="C40">
        <f>TYPE(B40)</f>
      </c>
      <c r="D40">
        <f>IFERROR(ERROR.TYPE(B40),"")</f>
      </c>
      <c r="E40">
        <f>LEN(B40&amp;"")</f>
      </c>
    </row>
    <row r="41">
      <c r="A41" s="2" t="inlineStr">
        <is>
          <t xml:space="preserve">P-0038</t>
        </is>
      </c>
      <c r="B41" s="2">
        <f>1&lt;&gt;2</f>
      </c>
      <c r="C41" s="2">
        <f>TYPE(B41)</f>
      </c>
      <c r="D41" s="2">
        <f>IFERROR(ERROR.TYPE(B41),"")</f>
      </c>
      <c r="E41" s="2">
        <f>LEN(B41&amp;"")</f>
      </c>
    </row>
    <row r="42">
      <c r="A42" t="inlineStr">
        <is>
          <t xml:space="preserve">P-0039</t>
        </is>
      </c>
      <c r="B42">
        <f>-"abc"</f>
      </c>
      <c r="C42">
        <f>TYPE(B42)</f>
      </c>
      <c r="D42">
        <f>IFERROR(ERROR.TYPE(B42),"")</f>
      </c>
      <c r="E42">
        <f>LEN(B42&amp;"")</f>
      </c>
    </row>
    <row r="43">
      <c r="A43" s="2" t="inlineStr">
        <is>
          <t xml:space="preserve">P-0040</t>
        </is>
      </c>
      <c r="B43" s="2">
        <f>(((((((((1)))))))))</f>
      </c>
      <c r="C43" s="2">
        <f>TYPE(B43)</f>
      </c>
      <c r="D43" s="2">
        <f>IFERROR(ERROR.TYPE(B43),"")</f>
      </c>
      <c r="E43" s="2">
        <f>LEN(B43&amp;"")</f>
      </c>
    </row>
    <row r="44">
      <c r="A44" t="inlineStr">
        <is>
          <t xml:space="preserve">P-0041</t>
        </is>
      </c>
      <c r="B44">
        <f>IF(TRUE,"yes")&amp;""</f>
      </c>
      <c r="C44">
        <f>TYPE(B44)</f>
      </c>
      <c r="D44">
        <f>IFERROR(ERROR.TYPE(B44),"")</f>
      </c>
      <c r="E44">
        <f>LEN(B44&amp;"")</f>
      </c>
    </row>
    <row r="45">
      <c r="A45" s="2" t="inlineStr">
        <is>
          <t xml:space="preserve">P-0042</t>
        </is>
      </c>
      <c r="B45" s="2">
        <f>SUM(1,,2)</f>
      </c>
      <c r="C45" s="2">
        <f>TYPE(B45)</f>
      </c>
      <c r="D45" s="2">
        <f>IFERROR(ERROR.TYPE(B45),"")</f>
      </c>
      <c r="E45" s="2">
        <f>LEN(B45&amp;"")</f>
      </c>
    </row>
    <row r="46">
      <c r="A46" t="inlineStr">
        <is>
          <t xml:space="preserve">C-0001</t>
        </is>
      </c>
      <c r="B46">
        <f>1+"2"</f>
      </c>
      <c r="C46">
        <f>TYPE(B46)</f>
      </c>
      <c r="D46">
        <f>IFERROR(ERROR.TYPE(B46),"")</f>
      </c>
      <c r="E46">
        <f>LEN(B46&amp;"")</f>
      </c>
    </row>
    <row r="47">
      <c r="A47" s="2" t="inlineStr">
        <is>
          <t xml:space="preserve">C-0002</t>
        </is>
      </c>
      <c r="B47" s="2">
        <f>1+"5%"</f>
      </c>
      <c r="C47" s="2">
        <f>TYPE(B47)</f>
      </c>
      <c r="D47" s="2">
        <f>IFERROR(ERROR.TYPE(B47),"")</f>
      </c>
      <c r="E47" s="2">
        <f>LEN(B47&amp;"")</f>
      </c>
    </row>
    <row r="48">
      <c r="A48" t="inlineStr">
        <is>
          <t xml:space="preserve">C-0003</t>
        </is>
      </c>
      <c r="B48">
        <f>1+"2026-10-27"</f>
      </c>
      <c r="C48">
        <f>TYPE(B48)</f>
      </c>
      <c r="D48">
        <f>IFERROR(ERROR.TYPE(B48),"")</f>
      </c>
      <c r="E48">
        <f>LEN(B48&amp;"")</f>
      </c>
    </row>
    <row r="49">
      <c r="A49" s="2" t="inlineStr">
        <is>
          <t xml:space="preserve">C-0004</t>
        </is>
      </c>
      <c r="B49" s="2">
        <f>1+"abc"</f>
      </c>
      <c r="C49" s="2">
        <f>TYPE(B49)</f>
      </c>
      <c r="D49" s="2">
        <f>IFERROR(ERROR.TYPE(B49),"")</f>
      </c>
      <c r="E49" s="2">
        <f>LEN(B49&amp;"")</f>
      </c>
    </row>
    <row r="50">
      <c r="A50" t="inlineStr">
        <is>
          <t xml:space="preserve">C-0005</t>
        </is>
      </c>
      <c r="B50">
        <f>1+TRUE</f>
      </c>
      <c r="C50">
        <f>TYPE(B50)</f>
      </c>
      <c r="D50">
        <f>IFERROR(ERROR.TYPE(B50),"")</f>
      </c>
      <c r="E50">
        <f>LEN(B50&amp;"")</f>
      </c>
    </row>
    <row r="51">
      <c r="A51" s="2" t="inlineStr">
        <is>
          <t xml:space="preserve">C-0006</t>
        </is>
      </c>
      <c r="B51" s="2">
        <f>1+Inputs!O1</f>
      </c>
      <c r="C51" s="2">
        <f>TYPE(B51)</f>
      </c>
      <c r="D51" s="2">
        <f>IFERROR(ERROR.TYPE(B51),"")</f>
      </c>
      <c r="E51" s="2">
        <f>LEN(B51&amp;"")</f>
      </c>
    </row>
    <row r="52">
      <c r="A52" t="inlineStr">
        <is>
          <t xml:space="preserve">C-0007</t>
        </is>
      </c>
      <c r="B52">
        <f>1+NA()</f>
      </c>
      <c r="C52">
        <f>TYPE(B52)</f>
      </c>
      <c r="D52">
        <f>IFERROR(ERROR.TYPE(B52),"")</f>
      </c>
      <c r="E52">
        <f>LEN(B52&amp;"")</f>
      </c>
    </row>
    <row r="53">
      <c r="A53" s="2" t="inlineStr">
        <is>
          <t xml:space="preserve">C-0008</t>
        </is>
      </c>
      <c r="B53" s="2">
        <f>1+" 2 "</f>
      </c>
      <c r="C53" s="2">
        <f>TYPE(B53)</f>
      </c>
      <c r="D53" s="2">
        <f>IFERROR(ERROR.TYPE(B53),"")</f>
      </c>
      <c r="E53" s="2">
        <f>LEN(B53&amp;"")</f>
      </c>
    </row>
    <row r="54">
      <c r="A54" t="inlineStr">
        <is>
          <t xml:space="preserve">C-0009</t>
        </is>
      </c>
      <c r="B54">
        <f>1+"1e3"</f>
      </c>
      <c r="C54">
        <f>TYPE(B54)</f>
      </c>
      <c r="D54">
        <f>IFERROR(ERROR.TYPE(B54),"")</f>
      </c>
      <c r="E54">
        <f>LEN(B54&amp;"")</f>
      </c>
    </row>
    <row r="55">
      <c r="A55" s="2" t="inlineStr">
        <is>
          <t xml:space="preserve">C-0010</t>
        </is>
      </c>
      <c r="B55" s="2">
        <f>1+"$5"</f>
      </c>
      <c r="C55" s="2">
        <f>TYPE(B55)</f>
      </c>
      <c r="D55" s="2">
        <f>IFERROR(ERROR.TYPE(B55),"")</f>
      </c>
      <c r="E55" s="2">
        <f>LEN(B55&amp;"")</f>
      </c>
    </row>
    <row r="56">
      <c r="A56" t="inlineStr">
        <is>
          <t xml:space="preserve">C-0011</t>
        </is>
      </c>
      <c r="B56">
        <f>1+"1,000"</f>
      </c>
      <c r="C56">
        <f>TYPE(B56)</f>
      </c>
      <c r="D56">
        <f>IFERROR(ERROR.TYPE(B56),"")</f>
      </c>
      <c r="E56">
        <f>LEN(B56&amp;"")</f>
      </c>
    </row>
    <row r="57">
      <c r="A57" s="2" t="inlineStr">
        <is>
          <t xml:space="preserve">C-0012</t>
        </is>
      </c>
      <c r="B57" s="2">
        <f>1+"(5)"</f>
      </c>
      <c r="C57" s="2">
        <f>TYPE(B57)</f>
      </c>
      <c r="D57" s="2">
        <f>IFERROR(ERROR.TYPE(B57),"")</f>
      </c>
      <c r="E57" s="2">
        <f>LEN(B57&amp;"")</f>
      </c>
    </row>
    <row r="58">
      <c r="A58" t="inlineStr">
        <is>
          <t xml:space="preserve">C-0013</t>
        </is>
      </c>
      <c r="B58">
        <f>1+""</f>
      </c>
      <c r="C58">
        <f>TYPE(B58)</f>
      </c>
      <c r="D58">
        <f>IFERROR(ERROR.TYPE(B58),"")</f>
      </c>
      <c r="E58">
        <f>LEN(B58&amp;"")</f>
      </c>
    </row>
    <row r="59">
      <c r="A59" s="2" t="inlineStr">
        <is>
          <t xml:space="preserve">C-0014</t>
        </is>
      </c>
      <c r="B59" s="2">
        <f>1+Inputs!A2</f>
      </c>
      <c r="C59" s="2">
        <f>TYPE(B59)</f>
      </c>
      <c r="D59" s="2">
        <f>IFERROR(ERROR.TYPE(B59),"")</f>
      </c>
      <c r="E59" s="2">
        <f>LEN(B59&amp;"")</f>
      </c>
    </row>
    <row r="60">
      <c r="A60" t="inlineStr">
        <is>
          <t xml:space="preserve">C-0015</t>
        </is>
      </c>
      <c r="B60">
        <f>1/3&amp;""</f>
      </c>
      <c r="C60">
        <f>TYPE(B60)</f>
      </c>
      <c r="D60">
        <f>IFERROR(ERROR.TYPE(B60),"")</f>
      </c>
      <c r="E60">
        <f>LEN(B60&amp;"")</f>
      </c>
    </row>
    <row r="61">
      <c r="A61" s="2" t="inlineStr">
        <is>
          <t xml:space="preserve">C-0016</t>
        </is>
      </c>
      <c r="B61" s="2">
        <f>TRUE&amp;""</f>
      </c>
      <c r="C61" s="2">
        <f>TYPE(B61)</f>
      </c>
      <c r="D61" s="2">
        <f>IFERROR(ERROR.TYPE(B61),"")</f>
      </c>
      <c r="E61" s="2">
        <f>LEN(B61&amp;"")</f>
      </c>
    </row>
    <row r="62">
      <c r="A62" t="inlineStr">
        <is>
          <t xml:space="preserve">C-0017</t>
        </is>
      </c>
      <c r="B62">
        <f>Inputs!O1&amp;"x"</f>
      </c>
      <c r="C62">
        <f>TYPE(B62)</f>
      </c>
      <c r="D62">
        <f>IFERROR(ERROR.TYPE(B62),"")</f>
      </c>
      <c r="E62">
        <f>LEN(B62&amp;"")</f>
      </c>
    </row>
    <row r="63">
      <c r="A63" s="2" t="inlineStr">
        <is>
          <t xml:space="preserve">C-0018</t>
        </is>
      </c>
      <c r="B63" s="2">
        <f>NA()&amp;"x"</f>
      </c>
      <c r="C63" s="2">
        <f>TYPE(B63)</f>
      </c>
      <c r="D63" s="2">
        <f>IFERROR(ERROR.TYPE(B63),"")</f>
      </c>
      <c r="E63" s="2">
        <f>LEN(B63&amp;"")</f>
      </c>
    </row>
    <row r="64">
      <c r="A64" t="inlineStr">
        <is>
          <t xml:space="preserve">C-0019</t>
        </is>
      </c>
      <c r="B64">
        <f>123456789012345678&amp;""</f>
      </c>
      <c r="C64">
        <f>TYPE(B64)</f>
      </c>
      <c r="D64">
        <f>IFERROR(ERROR.TYPE(B64),"")</f>
      </c>
      <c r="E64">
        <f>LEN(B64&amp;"")</f>
      </c>
    </row>
    <row r="65">
      <c r="A65" s="2" t="inlineStr">
        <is>
          <t xml:space="preserve">C-0020</t>
        </is>
      </c>
      <c r="B65" s="2">
        <f>1E+20&amp;""</f>
      </c>
      <c r="C65" s="2">
        <f>TYPE(B65)</f>
      </c>
      <c r="D65" s="2">
        <f>IFERROR(ERROR.TYPE(B65),"")</f>
      </c>
      <c r="E65" s="2">
        <f>LEN(B65&amp;"")</f>
      </c>
    </row>
    <row r="66">
      <c r="A66" t="inlineStr">
        <is>
          <t xml:space="preserve">C-0021</t>
        </is>
      </c>
      <c r="B66">
        <f>1E-7&amp;""</f>
      </c>
      <c r="C66">
        <f>TYPE(B66)</f>
      </c>
      <c r="D66">
        <f>IFERROR(ERROR.TYPE(B66),"")</f>
      </c>
      <c r="E66">
        <f>LEN(B66&amp;"")</f>
      </c>
    </row>
    <row r="67">
      <c r="A67" s="2" t="inlineStr">
        <is>
          <t xml:space="preserve">C-0022</t>
        </is>
      </c>
      <c r="B67" s="2">
        <f>DATE(2026,10,27)&amp;""</f>
      </c>
      <c r="C67" s="2">
        <f>TYPE(B67)</f>
      </c>
      <c r="D67" s="2">
        <f>IFERROR(ERROR.TYPE(B67),"")</f>
      </c>
      <c r="E67" s="2">
        <f>LEN(B67&amp;"")</f>
      </c>
    </row>
    <row r="68">
      <c r="A68" t="inlineStr">
        <is>
          <t xml:space="preserve">C-0023</t>
        </is>
      </c>
      <c r="B68">
        <f>-0&amp;""</f>
      </c>
      <c r="C68">
        <f>TYPE(B68)</f>
      </c>
      <c r="D68">
        <f>IFERROR(ERROR.TYPE(B68),"")</f>
      </c>
      <c r="E68">
        <f>LEN(B68&amp;"")</f>
      </c>
    </row>
    <row r="69">
      <c r="A69" s="2" t="inlineStr">
        <is>
          <t xml:space="preserve">C-0024</t>
        </is>
      </c>
      <c r="B69" s="2">
        <f>IF(2,"t","f")</f>
      </c>
      <c r="C69" s="2">
        <f>TYPE(B69)</f>
      </c>
      <c r="D69" s="2">
        <f>IFERROR(ERROR.TYPE(B69),"")</f>
      </c>
      <c r="E69" s="2">
        <f>LEN(B69&amp;"")</f>
      </c>
    </row>
    <row r="70">
      <c r="A70" t="inlineStr">
        <is>
          <t xml:space="preserve">C-0025</t>
        </is>
      </c>
      <c r="B70">
        <f>IF(-0.5,"t","f")</f>
      </c>
      <c r="C70">
        <f>TYPE(B70)</f>
      </c>
      <c r="D70">
        <f>IFERROR(ERROR.TYPE(B70),"")</f>
      </c>
      <c r="E70">
        <f>LEN(B70&amp;"")</f>
      </c>
    </row>
    <row r="71">
      <c r="A71" s="2" t="inlineStr">
        <is>
          <t xml:space="preserve">C-0026</t>
        </is>
      </c>
      <c r="B71" s="2">
        <f>IF("TRUE","t","f")</f>
      </c>
      <c r="C71" s="2">
        <f>TYPE(B71)</f>
      </c>
      <c r="D71" s="2">
        <f>IFERROR(ERROR.TYPE(B71),"")</f>
      </c>
      <c r="E71" s="2">
        <f>LEN(B71&amp;"")</f>
      </c>
    </row>
    <row r="72">
      <c r="A72" t="inlineStr">
        <is>
          <t xml:space="preserve">C-0027</t>
        </is>
      </c>
      <c r="B72">
        <f>IF("true","t","f")</f>
      </c>
      <c r="C72">
        <f>TYPE(B72)</f>
      </c>
      <c r="D72">
        <f>IFERROR(ERROR.TYPE(B72),"")</f>
      </c>
      <c r="E72">
        <f>LEN(B72&amp;"")</f>
      </c>
    </row>
    <row r="73">
      <c r="A73" s="2" t="inlineStr">
        <is>
          <t xml:space="preserve">C-0028</t>
        </is>
      </c>
      <c r="B73" s="2">
        <f>IF("FALSE","t","f")</f>
      </c>
      <c r="C73" s="2">
        <f>TYPE(B73)</f>
      </c>
      <c r="D73" s="2">
        <f>IFERROR(ERROR.TYPE(B73),"")</f>
      </c>
      <c r="E73" s="2">
        <f>LEN(B73&amp;"")</f>
      </c>
    </row>
    <row r="74">
      <c r="A74" t="inlineStr">
        <is>
          <t xml:space="preserve">C-0029</t>
        </is>
      </c>
      <c r="B74">
        <f>IF("yes","t","f")</f>
      </c>
      <c r="C74">
        <f>TYPE(B74)</f>
      </c>
      <c r="D74">
        <f>IFERROR(ERROR.TYPE(B74),"")</f>
      </c>
      <c r="E74">
        <f>LEN(B74&amp;"")</f>
      </c>
    </row>
    <row r="75">
      <c r="A75" s="2" t="inlineStr">
        <is>
          <t xml:space="preserve">C-0030</t>
        </is>
      </c>
      <c r="B75" s="2">
        <f>IF(Inputs!O1,"t","f")</f>
      </c>
      <c r="C75" s="2">
        <f>TYPE(B75)</f>
      </c>
      <c r="D75" s="2">
        <f>IFERROR(ERROR.TYPE(B75),"")</f>
      </c>
      <c r="E75" s="2">
        <f>LEN(B75&amp;"")</f>
      </c>
    </row>
    <row r="76">
      <c r="A76" t="inlineStr">
        <is>
          <t xml:space="preserve">C-0031</t>
        </is>
      </c>
      <c r="B76">
        <f>IF(NA(),"t","f")</f>
      </c>
      <c r="C76">
        <f>TYPE(B76)</f>
      </c>
      <c r="D76">
        <f>IFERROR(ERROR.TYPE(B76),"")</f>
      </c>
      <c r="E76">
        <f>LEN(B76&amp;"")</f>
      </c>
    </row>
    <row r="77">
      <c r="A77" s="2" t="inlineStr">
        <is>
          <t xml:space="preserve">C-0032</t>
        </is>
      </c>
      <c r="B77" s="2">
        <f>NOT("FALSE")</f>
      </c>
      <c r="C77" s="2">
        <f>TYPE(B77)</f>
      </c>
      <c r="D77" s="2">
        <f>IFERROR(ERROR.TYPE(B77),"")</f>
      </c>
      <c r="E77" s="2">
        <f>LEN(B77&amp;"")</f>
      </c>
    </row>
    <row r="78">
      <c r="A78" t="inlineStr">
        <is>
          <t xml:space="preserve">C-0033</t>
        </is>
      </c>
      <c r="B78">
        <f>IF("0","t","f")</f>
      </c>
      <c r="C78">
        <f>TYPE(B78)</f>
      </c>
      <c r="D78">
        <f>IFERROR(ERROR.TYPE(B78),"")</f>
      </c>
      <c r="E78">
        <f>LEN(B78&amp;"")</f>
      </c>
    </row>
    <row r="79">
      <c r="A79" s="2" t="inlineStr">
        <is>
          <t xml:space="preserve">C-0034</t>
        </is>
      </c>
      <c r="B79" s="2">
        <f>SUM(1,"2",TRUE)</f>
      </c>
      <c r="C79" s="2">
        <f>TYPE(B79)</f>
      </c>
      <c r="D79" s="2">
        <f>IFERROR(ERROR.TYPE(B79),"")</f>
      </c>
      <c r="E79" s="2">
        <f>LEN(B79&amp;"")</f>
      </c>
    </row>
    <row r="80">
      <c r="A80" t="inlineStr">
        <is>
          <t xml:space="preserve">C-0035</t>
        </is>
      </c>
      <c r="B80">
        <f>SUM(1,"x")</f>
      </c>
      <c r="C80">
        <f>TYPE(B80)</f>
      </c>
      <c r="D80">
        <f>IFERROR(ERROR.TYPE(B80),"")</f>
      </c>
      <c r="E80">
        <f>LEN(B80&amp;"")</f>
      </c>
    </row>
    <row r="81">
      <c r="A81" s="2" t="inlineStr">
        <is>
          <t xml:space="preserve">C-0036</t>
        </is>
      </c>
      <c r="B81" s="2">
        <f>SUM(Inputs!A1:A6)</f>
      </c>
      <c r="C81" s="2">
        <f>TYPE(B81)</f>
      </c>
      <c r="D81" s="2">
        <f>IFERROR(ERROR.TYPE(B81),"")</f>
      </c>
      <c r="E81" s="2">
        <f>LEN(B81&amp;"")</f>
      </c>
    </row>
    <row r="82">
      <c r="A82" t="inlineStr">
        <is>
          <t xml:space="preserve">C-0037</t>
        </is>
      </c>
      <c r="B82">
        <f>SUM(Inputs!A2)</f>
      </c>
      <c r="C82">
        <f>TYPE(B82)</f>
      </c>
      <c r="D82">
        <f>IFERROR(ERROR.TYPE(B82),"")</f>
      </c>
      <c r="E82">
        <f>LEN(B82&amp;"")</f>
      </c>
    </row>
    <row r="83">
      <c r="A83" s="2" t="inlineStr">
        <is>
          <t xml:space="preserve">C-0038</t>
        </is>
      </c>
      <c r="B83" s="2">
        <f>SUM(Inputs!A3)</f>
      </c>
      <c r="C83" s="2">
        <f>TYPE(B83)</f>
      </c>
      <c r="D83" s="2">
        <f>IFERROR(ERROR.TYPE(B83),"")</f>
      </c>
      <c r="E83" s="2">
        <f>LEN(B83&amp;"")</f>
      </c>
    </row>
    <row r="84">
      <c r="A84" t="inlineStr">
        <is>
          <t xml:space="preserve">C-0039</t>
        </is>
      </c>
      <c r="B84">
        <f>AVERAGE(1,"3")</f>
      </c>
      <c r="C84">
        <f>TYPE(B84)</f>
      </c>
      <c r="D84">
        <f>IFERROR(ERROR.TYPE(B84),"")</f>
      </c>
      <c r="E84">
        <f>LEN(B84&amp;"")</f>
      </c>
    </row>
    <row r="85">
      <c r="A85" s="2" t="inlineStr">
        <is>
          <t xml:space="preserve">C-0040</t>
        </is>
      </c>
      <c r="B85" s="2">
        <f>MAX("7",2)</f>
      </c>
      <c r="C85" s="2">
        <f>TYPE(B85)</f>
      </c>
      <c r="D85" s="2">
        <f>IFERROR(ERROR.TYPE(B85),"")</f>
      </c>
      <c r="E85" s="2">
        <f>LEN(B85&amp;"")</f>
      </c>
    </row>
    <row r="86">
      <c r="A86" t="inlineStr">
        <is>
          <t xml:space="preserve">C-0041</t>
        </is>
      </c>
      <c r="B86">
        <f>COUNT("1",TRUE,"x",1)</f>
      </c>
      <c r="C86">
        <f>TYPE(B86)</f>
      </c>
      <c r="D86">
        <f>IFERROR(ERROR.TYPE(B86),"")</f>
      </c>
      <c r="E86">
        <f>LEN(B86&amp;"")</f>
      </c>
    </row>
    <row r="87">
      <c r="A87" s="2" t="inlineStr">
        <is>
          <t xml:space="preserve">C-0042</t>
        </is>
      </c>
      <c r="B87" s="2">
        <f>SUM({1,"2",TRUE})</f>
      </c>
      <c r="C87" s="2">
        <f>TYPE(B87)</f>
      </c>
      <c r="D87" s="2">
        <f>IFERROR(ERROR.TYPE(B87),"")</f>
      </c>
      <c r="E87" s="2">
        <f>LEN(B87&amp;"")</f>
      </c>
    </row>
    <row r="88">
      <c r="A88" t="inlineStr">
        <is>
          <t xml:space="preserve">C-0043</t>
        </is>
      </c>
      <c r="B88">
        <f>1&lt;"a"</f>
      </c>
      <c r="C88">
        <f>TYPE(B88)</f>
      </c>
      <c r="D88">
        <f>IFERROR(ERROR.TYPE(B88),"")</f>
      </c>
      <c r="E88">
        <f>LEN(B88&amp;"")</f>
      </c>
    </row>
    <row r="89">
      <c r="A89" s="2" t="inlineStr">
        <is>
          <t xml:space="preserve">C-0044</t>
        </is>
      </c>
      <c r="B89" s="2">
        <f>"a"&lt;TRUE</f>
      </c>
      <c r="C89" s="2">
        <f>TYPE(B89)</f>
      </c>
      <c r="D89" s="2">
        <f>IFERROR(ERROR.TYPE(B89),"")</f>
      </c>
      <c r="E89" s="2">
        <f>LEN(B89&amp;"")</f>
      </c>
    </row>
    <row r="90">
      <c r="A90" t="inlineStr">
        <is>
          <t xml:space="preserve">C-0045</t>
        </is>
      </c>
      <c r="B90">
        <f>1&lt;TRUE</f>
      </c>
      <c r="C90">
        <f>TYPE(B90)</f>
      </c>
      <c r="D90">
        <f>IFERROR(ERROR.TYPE(B90),"")</f>
      </c>
      <c r="E90">
        <f>LEN(B90&amp;"")</f>
      </c>
    </row>
    <row r="91">
      <c r="A91" s="2" t="inlineStr">
        <is>
          <t xml:space="preserve">C-0046</t>
        </is>
      </c>
      <c r="B91" s="2">
        <f>"a"="A"</f>
      </c>
      <c r="C91" s="2">
        <f>TYPE(B91)</f>
      </c>
      <c r="D91" s="2">
        <f>IFERROR(ERROR.TYPE(B91),"")</f>
      </c>
      <c r="E91" s="2">
        <f>LEN(B91&amp;"")</f>
      </c>
    </row>
    <row r="92">
      <c r="A92" t="inlineStr">
        <is>
          <t xml:space="preserve">C-0047</t>
        </is>
      </c>
      <c r="B92">
        <f>"a"&lt;"B"</f>
      </c>
      <c r="C92">
        <f>TYPE(B92)</f>
      </c>
      <c r="D92">
        <f>IFERROR(ERROR.TYPE(B92),"")</f>
      </c>
      <c r="E92">
        <f>LEN(B92&amp;"")</f>
      </c>
    </row>
    <row r="93">
      <c r="A93" s="2" t="inlineStr">
        <is>
          <t xml:space="preserve">C-0048</t>
        </is>
      </c>
      <c r="B93" s="2">
        <f>"ä"="Ä"</f>
      </c>
      <c r="C93" s="2">
        <f>TYPE(B93)</f>
      </c>
      <c r="D93" s="2">
        <f>IFERROR(ERROR.TYPE(B93),"")</f>
      </c>
      <c r="E93" s="2">
        <f>LEN(B93&amp;"")</f>
      </c>
    </row>
    <row r="94">
      <c r="A94" t="inlineStr">
        <is>
          <t xml:space="preserve">C-0049</t>
        </is>
      </c>
      <c r="B94">
        <f>Inputs!O1=0</f>
      </c>
      <c r="C94">
        <f>TYPE(B94)</f>
      </c>
      <c r="D94">
        <f>IFERROR(ERROR.TYPE(B94),"")</f>
      </c>
      <c r="E94">
        <f>LEN(B94&amp;"")</f>
      </c>
    </row>
    <row r="95">
      <c r="A95" s="2" t="inlineStr">
        <is>
          <t xml:space="preserve">C-0050</t>
        </is>
      </c>
      <c r="B95" s="2">
        <f>Inputs!O1=""</f>
      </c>
      <c r="C95" s="2">
        <f>TYPE(B95)</f>
      </c>
      <c r="D95" s="2">
        <f>IFERROR(ERROR.TYPE(B95),"")</f>
      </c>
      <c r="E95" s="2">
        <f>LEN(B95&amp;"")</f>
      </c>
    </row>
    <row r="96">
      <c r="A96" t="inlineStr">
        <is>
          <t xml:space="preserve">C-0051</t>
        </is>
      </c>
      <c r="B96">
        <f>Inputs!O1&lt;1</f>
      </c>
      <c r="C96">
        <f>TYPE(B96)</f>
      </c>
      <c r="D96">
        <f>IFERROR(ERROR.TYPE(B96),"")</f>
      </c>
      <c r="E96">
        <f>LEN(B96&amp;"")</f>
      </c>
    </row>
    <row r="97">
      <c r="A97" s="2" t="inlineStr">
        <is>
          <t xml:space="preserve">C-0052</t>
        </is>
      </c>
      <c r="B97" s="2">
        <f>Inputs!O1=FALSE</f>
      </c>
      <c r="C97" s="2">
        <f>TYPE(B97)</f>
      </c>
      <c r="D97" s="2">
        <f>IFERROR(ERROR.TYPE(B97),"")</f>
      </c>
      <c r="E97" s="2">
        <f>LEN(B97&amp;"")</f>
      </c>
    </row>
    <row r="98">
      <c r="A98" t="inlineStr">
        <is>
          <t xml:space="preserve">C-0053</t>
        </is>
      </c>
      <c r="B98">
        <f>"10"&lt;"9"</f>
      </c>
      <c r="C98">
        <f>TYPE(B98)</f>
      </c>
      <c r="D98">
        <f>IFERROR(ERROR.TYPE(B98),"")</f>
      </c>
      <c r="E98">
        <f>LEN(B98&amp;"")</f>
      </c>
    </row>
    <row r="99">
      <c r="A99" s="2" t="inlineStr">
        <is>
          <t xml:space="preserve">C-0054</t>
        </is>
      </c>
      <c r="B99" s="2">
        <f>" a"="a"</f>
      </c>
      <c r="C99" s="2">
        <f>TYPE(B99)</f>
      </c>
      <c r="D99" s="2">
        <f>IFERROR(ERROR.TYPE(B99),"")</f>
      </c>
      <c r="E99" s="2">
        <f>LEN(B99&amp;"")</f>
      </c>
    </row>
    <row r="100">
      <c r="A100" t="inlineStr">
        <is>
          <t xml:space="preserve">C-0055</t>
        </is>
      </c>
      <c r="B100">
        <f>1=TRUE</f>
      </c>
      <c r="C100">
        <f>TYPE(B100)</f>
      </c>
      <c r="D100">
        <f>IFERROR(ERROR.TYPE(B100),"")</f>
      </c>
      <c r="E100">
        <f>LEN(B100&amp;"")</f>
      </c>
    </row>
    <row r="101">
      <c r="A101" s="2" t="inlineStr">
        <is>
          <t xml:space="preserve">C-0056</t>
        </is>
      </c>
      <c r="B101" s="2">
        <f>"1"=1</f>
      </c>
      <c r="C101" s="2">
        <f>TYPE(B101)</f>
      </c>
      <c r="D101" s="2">
        <f>IFERROR(ERROR.TYPE(B101),"")</f>
      </c>
      <c r="E101" s="2">
        <f>LEN(B101&amp;"")</f>
      </c>
    </row>
    <row r="102">
      <c r="A102" t="inlineStr">
        <is>
          <t xml:space="preserve">C-0057</t>
        </is>
      </c>
      <c r="B102">
        <f>NA()+1/0</f>
      </c>
      <c r="C102">
        <f>TYPE(B102)</f>
      </c>
      <c r="D102">
        <f>IFERROR(ERROR.TYPE(B102),"")</f>
      </c>
      <c r="E102">
        <f>LEN(B102&amp;"")</f>
      </c>
    </row>
    <row r="103">
      <c r="A103" s="2" t="inlineStr">
        <is>
          <t xml:space="preserve">C-0058</t>
        </is>
      </c>
      <c r="B103" s="2">
        <f>1/0+NA()</f>
      </c>
      <c r="C103" s="2">
        <f>TYPE(B103)</f>
      </c>
      <c r="D103" s="2">
        <f>IFERROR(ERROR.TYPE(B103),"")</f>
      </c>
      <c r="E103" s="2">
        <f>LEN(B103&amp;"")</f>
      </c>
    </row>
    <row r="104">
      <c r="A104" t="inlineStr">
        <is>
          <t xml:space="preserve">C-0059</t>
        </is>
      </c>
      <c r="B104">
        <f>SUM(1/0,NA())</f>
      </c>
      <c r="C104">
        <f>TYPE(B104)</f>
      </c>
      <c r="D104">
        <f>IFERROR(ERROR.TYPE(B104),"")</f>
      </c>
      <c r="E104">
        <f>LEN(B104&amp;"")</f>
      </c>
    </row>
    <row r="105">
      <c r="A105" s="2" t="inlineStr">
        <is>
          <t xml:space="preserve">C-0060</t>
        </is>
      </c>
      <c r="B105" s="2">
        <f>CONCATENATE(NA(),1/0)</f>
      </c>
      <c r="C105" s="2">
        <f>TYPE(B105)</f>
      </c>
      <c r="D105" s="2">
        <f>IFERROR(ERROR.TYPE(B105),"")</f>
      </c>
      <c r="E105" s="2">
        <f>LEN(B105&amp;"")</f>
      </c>
    </row>
    <row r="106">
      <c r="A106" t="inlineStr">
        <is>
          <t xml:space="preserve">C-0061</t>
        </is>
      </c>
      <c r="B106">
        <f>MAX(1/0,NA())</f>
      </c>
      <c r="C106">
        <f>TYPE(B106)</f>
      </c>
      <c r="D106">
        <f>IFERROR(ERROR.TYPE(B106),"")</f>
      </c>
      <c r="E106">
        <f>LEN(B106&amp;"")</f>
      </c>
    </row>
    <row r="107">
      <c r="A107" s="2" t="inlineStr">
        <is>
          <t xml:space="preserve">F-0001</t>
        </is>
      </c>
      <c r="B107" s="2">
        <f>0.1+0.2=0.3</f>
      </c>
      <c r="C107" s="2">
        <f>TYPE(B107)</f>
      </c>
      <c r="D107" s="2">
        <f>IFERROR(ERROR.TYPE(B107),"")</f>
      </c>
      <c r="E107" s="2">
        <f>LEN(B107&amp;"")</f>
      </c>
    </row>
    <row r="108">
      <c r="A108" t="inlineStr">
        <is>
          <t xml:space="preserve">F-0002</t>
        </is>
      </c>
      <c r="B108">
        <f>(0.1+0.2)-0.3</f>
      </c>
      <c r="C108">
        <f>TYPE(B108)</f>
      </c>
      <c r="D108">
        <f>IFERROR(ERROR.TYPE(B108),"")</f>
      </c>
      <c r="E108">
        <f>LEN(B108&amp;"")</f>
      </c>
    </row>
    <row r="109">
      <c r="A109" s="2" t="inlineStr">
        <is>
          <t xml:space="preserve">F-0003</t>
        </is>
      </c>
      <c r="B109" s="2">
        <f>0.1*3</f>
      </c>
      <c r="C109" s="2">
        <f>TYPE(B109)</f>
      </c>
      <c r="D109" s="2">
        <f>IFERROR(ERROR.TYPE(B109),"")</f>
      </c>
      <c r="E109" s="2">
        <f>LEN(B109&amp;"")</f>
      </c>
    </row>
    <row r="110">
      <c r="A110" t="inlineStr">
        <is>
          <t xml:space="preserve">F-0004</t>
        </is>
      </c>
      <c r="B110">
        <f>1-0.9</f>
      </c>
      <c r="C110">
        <f>TYPE(B110)</f>
      </c>
      <c r="D110">
        <f>IFERROR(ERROR.TYPE(B110),"")</f>
      </c>
      <c r="E110">
        <f>LEN(B110&amp;"")</f>
      </c>
    </row>
    <row r="111">
      <c r="A111" s="2" t="inlineStr">
        <is>
          <t xml:space="preserve">F-0005</t>
        </is>
      </c>
      <c r="B111" s="2">
        <f>(1-0.9)=0.1</f>
      </c>
      <c r="C111" s="2">
        <f>TYPE(B111)</f>
      </c>
      <c r="D111" s="2">
        <f>IFERROR(ERROR.TYPE(B111),"")</f>
      </c>
      <c r="E111" s="2">
        <f>LEN(B111&amp;"")</f>
      </c>
    </row>
    <row r="112">
      <c r="A112" t="inlineStr">
        <is>
          <t xml:space="preserve">F-0006</t>
        </is>
      </c>
      <c r="B112">
        <f>ROUND(1.005,2)</f>
      </c>
      <c r="C112">
        <f>TYPE(B112)</f>
      </c>
      <c r="D112">
        <f>IFERROR(ERROR.TYPE(B112),"")</f>
      </c>
      <c r="E112">
        <f>LEN(B112&amp;"")</f>
      </c>
    </row>
    <row r="113">
      <c r="A113" s="2" t="inlineStr">
        <is>
          <t xml:space="preserve">F-0007</t>
        </is>
      </c>
      <c r="B113" s="2">
        <f>ROUND(2.675,2)</f>
      </c>
      <c r="C113" s="2">
        <f>TYPE(B113)</f>
      </c>
      <c r="D113" s="2">
        <f>IFERROR(ERROR.TYPE(B113),"")</f>
      </c>
      <c r="E113" s="2">
        <f>LEN(B113&amp;"")</f>
      </c>
    </row>
    <row r="114">
      <c r="A114" t="inlineStr">
        <is>
          <t xml:space="preserve">F-0008</t>
        </is>
      </c>
      <c r="B114">
        <f>ROUND(0.285,2)</f>
      </c>
      <c r="C114">
        <f>TYPE(B114)</f>
      </c>
      <c r="D114">
        <f>IFERROR(ERROR.TYPE(B114),"")</f>
      </c>
      <c r="E114">
        <f>LEN(B114&amp;"")</f>
      </c>
    </row>
    <row r="115">
      <c r="A115" s="2" t="inlineStr">
        <is>
          <t xml:space="preserve">F-0009</t>
        </is>
      </c>
      <c r="B115" s="2">
        <f>ROUNDUP(0.1+0.2,1)</f>
      </c>
      <c r="C115" s="2">
        <f>TYPE(B115)</f>
      </c>
      <c r="D115" s="2">
        <f>IFERROR(ERROR.TYPE(B115),"")</f>
      </c>
      <c r="E115" s="2">
        <f>LEN(B115&amp;"")</f>
      </c>
    </row>
    <row r="116">
      <c r="A116" t="inlineStr">
        <is>
          <t xml:space="preserve">F-0010</t>
        </is>
      </c>
      <c r="B116">
        <f>ROUNDDOWN(1-0.9,1)</f>
      </c>
      <c r="C116">
        <f>TYPE(B116)</f>
      </c>
      <c r="D116">
        <f>IFERROR(ERROR.TYPE(B116),"")</f>
      </c>
      <c r="E116">
        <f>LEN(B116&amp;"")</f>
      </c>
    </row>
    <row r="117">
      <c r="A117" s="2" t="inlineStr">
        <is>
          <t xml:space="preserve">F-0011</t>
        </is>
      </c>
      <c r="B117" s="2">
        <f>INT((1-0.9)*10)</f>
      </c>
      <c r="C117" s="2">
        <f>TYPE(B117)</f>
      </c>
      <c r="D117" s="2">
        <f>IFERROR(ERROR.TYPE(B117),"")</f>
      </c>
      <c r="E117" s="2">
        <f>LEN(B117&amp;"")</f>
      </c>
    </row>
    <row r="118">
      <c r="A118" t="inlineStr">
        <is>
          <t xml:space="preserve">F-0012</t>
        </is>
      </c>
      <c r="B118">
        <f>TRUNC((0.1+0.7)*10)</f>
      </c>
      <c r="C118">
        <f>TYPE(B118)</f>
      </c>
      <c r="D118">
        <f>IFERROR(ERROR.TYPE(B118),"")</f>
      </c>
      <c r="E118">
        <f>LEN(B118&amp;"")</f>
      </c>
    </row>
    <row r="119">
      <c r="A119" s="2" t="inlineStr">
        <is>
          <t xml:space="preserve">F-0013</t>
        </is>
      </c>
      <c r="B119" s="2">
        <f>TRUNC(4.35*100)</f>
      </c>
      <c r="C119" s="2">
        <f>TYPE(B119)</f>
      </c>
      <c r="D119" s="2">
        <f>IFERROR(ERROR.TYPE(B119),"")</f>
      </c>
      <c r="E119" s="2">
        <f>LEN(B119&amp;"")</f>
      </c>
    </row>
    <row r="120">
      <c r="A120" t="inlineStr">
        <is>
          <t xml:space="preserve">F-0014</t>
        </is>
      </c>
      <c r="B120">
        <f>MOD(1,0.1)</f>
      </c>
      <c r="C120">
        <f>TYPE(B120)</f>
      </c>
      <c r="D120">
        <f>IFERROR(ERROR.TYPE(B120),"")</f>
      </c>
      <c r="E120">
        <f>LEN(B120&amp;"")</f>
      </c>
    </row>
    <row r="121">
      <c r="A121" s="2" t="inlineStr">
        <is>
          <t xml:space="preserve">F-0015</t>
        </is>
      </c>
      <c r="B121" s="2">
        <f>MOD(0.3,0.1)</f>
      </c>
      <c r="C121" s="2">
        <f>TYPE(B121)</f>
      </c>
      <c r="D121" s="2">
        <f>IFERROR(ERROR.TYPE(B121),"")</f>
      </c>
      <c r="E121" s="2">
        <f>LEN(B121&amp;"")</f>
      </c>
    </row>
    <row r="122">
      <c r="A122" t="inlineStr">
        <is>
          <t xml:space="preserve">F-0016</t>
        </is>
      </c>
      <c r="B122">
        <f>1/3*3=1</f>
      </c>
      <c r="C122">
        <f>TYPE(B122)</f>
      </c>
      <c r="D122">
        <f>IFERROR(ERROR.TYPE(B122),"")</f>
      </c>
      <c r="E122">
        <f>LEN(B122&amp;"")</f>
      </c>
    </row>
    <row r="123">
      <c r="A123" s="2" t="inlineStr">
        <is>
          <t xml:space="preserve">F-0017</t>
        </is>
      </c>
      <c r="B123" s="2">
        <f>1/3&amp;""</f>
      </c>
      <c r="C123" s="2">
        <f>TYPE(B123)</f>
      </c>
      <c r="D123" s="2">
        <f>IFERROR(ERROR.TYPE(B123),"")</f>
      </c>
      <c r="E123" s="2">
        <f>LEN(B123&amp;"")</f>
      </c>
    </row>
    <row r="124">
      <c r="A124" t="inlineStr">
        <is>
          <t xml:space="preserve">F-0018</t>
        </is>
      </c>
      <c r="B124">
        <f>2/3&amp;""</f>
      </c>
      <c r="C124">
        <f>TYPE(B124)</f>
      </c>
      <c r="D124">
        <f>IFERROR(ERROR.TYPE(B124),"")</f>
      </c>
      <c r="E124">
        <f>LEN(B124&amp;"")</f>
      </c>
    </row>
    <row r="125">
      <c r="A125" s="2" t="inlineStr">
        <is>
          <t xml:space="preserve">F-0019</t>
        </is>
      </c>
      <c r="B125" s="2">
        <f>1E+15+1</f>
      </c>
      <c r="C125" s="2">
        <f>TYPE(B125)</f>
      </c>
      <c r="D125" s="2">
        <f>IFERROR(ERROR.TYPE(B125),"")</f>
      </c>
      <c r="E125" s="2">
        <f>LEN(B125&amp;"")</f>
      </c>
    </row>
    <row r="126">
      <c r="A126" t="inlineStr">
        <is>
          <t xml:space="preserve">F-0020</t>
        </is>
      </c>
      <c r="B126">
        <f>(1E+16+1)&amp;""</f>
      </c>
      <c r="C126">
        <f>TYPE(B126)</f>
      </c>
      <c r="D126">
        <f>IFERROR(ERROR.TYPE(B126),"")</f>
      </c>
      <c r="E126">
        <f>LEN(B126&amp;"")</f>
      </c>
    </row>
    <row r="127">
      <c r="A127" s="2" t="inlineStr">
        <is>
          <t xml:space="preserve">F-0021</t>
        </is>
      </c>
      <c r="B127" s="2">
        <f>123456789012345678</f>
      </c>
      <c r="C127" s="2">
        <f>TYPE(B127)</f>
      </c>
      <c r="D127" s="2">
        <f>IFERROR(ERROR.TYPE(B127),"")</f>
      </c>
      <c r="E127" s="2">
        <f>LEN(B127&amp;"")</f>
      </c>
    </row>
    <row r="128">
      <c r="A128" t="inlineStr">
        <is>
          <t xml:space="preserve">F-0022</t>
        </is>
      </c>
      <c r="B128">
        <f>9.99999999999999E+307*10</f>
      </c>
      <c r="C128">
        <f>TYPE(B128)</f>
      </c>
      <c r="D128">
        <f>IFERROR(ERROR.TYPE(B128),"")</f>
      </c>
      <c r="E128">
        <f>LEN(B128&amp;"")</f>
      </c>
    </row>
    <row r="129">
      <c r="A129" s="2" t="inlineStr">
        <is>
          <t xml:space="preserve">F-0023</t>
        </is>
      </c>
      <c r="B129" s="2">
        <f>1E-320</f>
      </c>
      <c r="C129" s="2">
        <f>TYPE(B129)</f>
      </c>
      <c r="D129" s="2">
        <f>IFERROR(ERROR.TYPE(B129),"")</f>
      </c>
      <c r="E129" s="2">
        <f>LEN(B129&amp;"")</f>
      </c>
    </row>
    <row r="130">
      <c r="A130" t="inlineStr">
        <is>
          <t xml:space="preserve">F-0024</t>
        </is>
      </c>
      <c r="B130">
        <f>SUM(0.1,0.2,0.3)=0.6</f>
      </c>
      <c r="C130">
        <f>TYPE(B130)</f>
      </c>
      <c r="D130">
        <f>IFERROR(ERROR.TYPE(B130),"")</f>
      </c>
      <c r="E130">
        <f>LEN(B130&amp;"")</f>
      </c>
    </row>
    <row r="131">
      <c r="A131" s="2" t="inlineStr">
        <is>
          <t xml:space="preserve">F-0025</t>
        </is>
      </c>
      <c r="B131" s="2">
        <f>0.1+0.7</f>
      </c>
      <c r="C131" s="2">
        <f>TYPE(B131)</f>
      </c>
      <c r="D131" s="2">
        <f>IFERROR(ERROR.TYPE(B131),"")</f>
      </c>
      <c r="E131" s="2">
        <f>LEN(B131&amp;"")</f>
      </c>
    </row>
    <row r="132">
      <c r="A132" t="inlineStr">
        <is>
          <t xml:space="preserve">F-0026</t>
        </is>
      </c>
      <c r="B132">
        <f>4.35*100</f>
      </c>
      <c r="C132">
        <f>TYPE(B132)</f>
      </c>
      <c r="D132">
        <f>IFERROR(ERROR.TYPE(B132),"")</f>
      </c>
      <c r="E132">
        <f>LEN(B132&amp;"")</f>
      </c>
    </row>
    <row r="133">
      <c r="A133" s="2" t="inlineStr">
        <is>
          <t xml:space="preserve">F-0027</t>
        </is>
      </c>
      <c r="B133" s="2">
        <f>MATCH(0.1+0.2,Inputs!Q1:Q1,0)</f>
      </c>
      <c r="C133" s="2">
        <f>TYPE(B133)</f>
      </c>
      <c r="D133" s="2">
        <f>IFERROR(ERROR.TYPE(B133),"")</f>
      </c>
      <c r="E133" s="2">
        <f>LEN(B133&amp;"")</f>
      </c>
    </row>
    <row r="134">
      <c r="A134" t="inlineStr">
        <is>
          <t xml:space="preserve">F-0028</t>
        </is>
      </c>
      <c r="B134">
        <f>VLOOKUP(0.1+0.2,Inputs!Q1:R1,2,FALSE)</f>
      </c>
      <c r="C134">
        <f>TYPE(B134)</f>
      </c>
      <c r="D134">
        <f>IFERROR(ERROR.TYPE(B134),"")</f>
      </c>
      <c r="E134">
        <f>LEN(B134&amp;"")</f>
      </c>
    </row>
    <row r="135">
      <c r="A135" s="2" t="inlineStr">
        <is>
          <t xml:space="preserve">F-0029</t>
        </is>
      </c>
      <c r="B135" s="2">
        <f>COUNTIF(Inputs!Q1:Q1,0.1+0.2)</f>
      </c>
      <c r="C135" s="2">
        <f>TYPE(B135)</f>
      </c>
      <c r="D135" s="2">
        <f>IFERROR(ERROR.TYPE(B135),"")</f>
      </c>
      <c r="E135" s="2">
        <f>LEN(B135&amp;"")</f>
      </c>
    </row>
    <row r="136">
      <c r="A136" t="inlineStr">
        <is>
          <t xml:space="preserve">F-0030</t>
        </is>
      </c>
      <c r="B136">
        <f>1.1*1.1=1.21</f>
      </c>
      <c r="C136">
        <f>TYPE(B136)</f>
      </c>
      <c r="D136">
        <f>IFERROR(ERROR.TYPE(B136),"")</f>
      </c>
      <c r="E136">
        <f>LEN(B136&amp;"")</f>
      </c>
    </row>
    <row r="137">
      <c r="A137" s="2" t="inlineStr">
        <is>
          <t xml:space="preserve">F-0031</t>
        </is>
      </c>
      <c r="B137" s="2">
        <f>SQRT(2)^2=2</f>
      </c>
      <c r="C137" s="2">
        <f>TYPE(B137)</f>
      </c>
      <c r="D137" s="2">
        <f>IFERROR(ERROR.TYPE(B137),"")</f>
      </c>
      <c r="E137" s="2">
        <f>LEN(B137&amp;"")</f>
      </c>
    </row>
    <row r="138">
      <c r="A138" t="inlineStr">
        <is>
          <t xml:space="preserve">F-0032</t>
        </is>
      </c>
      <c r="B138">
        <f>10/3*3=10</f>
      </c>
      <c r="C138">
        <f>TYPE(B138)</f>
      </c>
      <c r="D138">
        <f>IFERROR(ERROR.TYPE(B138),"")</f>
      </c>
      <c r="E138">
        <f>LEN(B138&amp;"")</f>
      </c>
    </row>
    <row r="139">
      <c r="A139" s="2" t="inlineStr">
        <is>
          <t xml:space="preserve">F-0033</t>
        </is>
      </c>
      <c r="B139" s="2">
        <f>0.1+0.2&gt;0.3</f>
      </c>
      <c r="C139" s="2">
        <f>TYPE(B139)</f>
      </c>
      <c r="D139" s="2">
        <f>IFERROR(ERROR.TYPE(B139),"")</f>
      </c>
      <c r="E139" s="2">
        <f>LEN(B139&amp;"")</f>
      </c>
    </row>
    <row r="140">
      <c r="A140" t="inlineStr">
        <is>
          <t xml:space="preserve">F-0034</t>
        </is>
      </c>
      <c r="B140">
        <f>(0.1+0.2)-0.3=0</f>
      </c>
      <c r="C140">
        <f>TYPE(B140)</f>
      </c>
      <c r="D140">
        <f>IFERROR(ERROR.TYPE(B140),"")</f>
      </c>
      <c r="E140">
        <f>LEN(B140&amp;"")</f>
      </c>
    </row>
    <row r="141">
      <c r="A141" s="2" t="inlineStr">
        <is>
          <t xml:space="preserve">F-0035</t>
        </is>
      </c>
      <c r="B141" s="2">
        <f>ROUND(-1.005,2)</f>
      </c>
      <c r="C141" s="2">
        <f>TYPE(B141)</f>
      </c>
      <c r="D141" s="2">
        <f>IFERROR(ERROR.TYPE(B141),"")</f>
      </c>
      <c r="E141" s="2">
        <f>LEN(B141&amp;"")</f>
      </c>
    </row>
    <row r="142">
      <c r="A142" t="inlineStr">
        <is>
          <t xml:space="preserve">F-0036</t>
        </is>
      </c>
      <c r="B142">
        <f>ROUND(1234567.891,-3)</f>
      </c>
      <c r="C142">
        <f>TYPE(B142)</f>
      </c>
      <c r="D142">
        <f>IFERROR(ERROR.TYPE(B142),"")</f>
      </c>
      <c r="E142">
        <f>LEN(B142&amp;"")</f>
      </c>
    </row>
    <row r="143">
      <c r="A143" s="2" t="inlineStr">
        <is>
          <t xml:space="preserve">D-0001</t>
        </is>
      </c>
      <c r="B143" s="2">
        <f>DATE(1900,2,29)</f>
      </c>
      <c r="C143" s="2">
        <f>TYPE(B143)</f>
      </c>
      <c r="D143" s="2">
        <f>IFERROR(ERROR.TYPE(B143),"")</f>
      </c>
      <c r="E143" s="2">
        <f>LEN(B143&amp;"")</f>
      </c>
    </row>
    <row r="144">
      <c r="A144" t="inlineStr">
        <is>
          <t xml:space="preserve">D-0002</t>
        </is>
      </c>
      <c r="B144">
        <f>DATE(1900,3,1)-DATE(1900,2,28)</f>
      </c>
      <c r="C144">
        <f>TYPE(B144)</f>
      </c>
      <c r="D144">
        <f>IFERROR(ERROR.TYPE(B144),"")</f>
      </c>
      <c r="E144">
        <f>LEN(B144&amp;"")</f>
      </c>
    </row>
    <row r="145">
      <c r="A145" s="2" t="inlineStr">
        <is>
          <t xml:space="preserve">D-0003</t>
        </is>
      </c>
      <c r="B145" s="2">
        <f>TEXT(60,"yyyy-mm-dd")</f>
      </c>
      <c r="C145" s="2">
        <f>TYPE(B145)</f>
      </c>
      <c r="D145" s="2">
        <f>IFERROR(ERROR.TYPE(B145),"")</f>
      </c>
      <c r="E145" s="2">
        <f>LEN(B145&amp;"")</f>
      </c>
    </row>
    <row r="146">
      <c r="A146" t="inlineStr">
        <is>
          <t xml:space="preserve">D-0004</t>
        </is>
      </c>
      <c r="B146">
        <f>TEXT(59,"yyyy-mm-dd")</f>
      </c>
      <c r="C146">
        <f>TYPE(B146)</f>
      </c>
      <c r="D146">
        <f>IFERROR(ERROR.TYPE(B146),"")</f>
      </c>
      <c r="E146">
        <f>LEN(B146&amp;"")</f>
      </c>
    </row>
    <row r="147">
      <c r="A147" s="2" t="inlineStr">
        <is>
          <t xml:space="preserve">D-0005</t>
        </is>
      </c>
      <c r="B147" s="2">
        <f>TEXT(61,"yyyy-mm-dd")</f>
      </c>
      <c r="C147" s="2">
        <f>TYPE(B147)</f>
      </c>
      <c r="D147" s="2">
        <f>IFERROR(ERROR.TYPE(B147),"")</f>
      </c>
      <c r="E147" s="2">
        <f>LEN(B147&amp;"")</f>
      </c>
    </row>
    <row r="148">
      <c r="A148" t="inlineStr">
        <is>
          <t xml:space="preserve">D-0006</t>
        </is>
      </c>
      <c r="B148">
        <f>DATE(1900,1,1)</f>
      </c>
      <c r="C148">
        <f>TYPE(B148)</f>
      </c>
      <c r="D148">
        <f>IFERROR(ERROR.TYPE(B148),"")</f>
      </c>
      <c r="E148">
        <f>LEN(B148&amp;"")</f>
      </c>
    </row>
    <row r="149">
      <c r="A149" s="2" t="inlineStr">
        <is>
          <t xml:space="preserve">D-0007</t>
        </is>
      </c>
      <c r="B149" s="2">
        <f>TEXT(1,"yyyy-mm-dd")</f>
      </c>
      <c r="C149" s="2">
        <f>TYPE(B149)</f>
      </c>
      <c r="D149" s="2">
        <f>IFERROR(ERROR.TYPE(B149),"")</f>
      </c>
      <c r="E149" s="2">
        <f>LEN(B149&amp;"")</f>
      </c>
    </row>
    <row r="150">
      <c r="A150" t="inlineStr">
        <is>
          <t xml:space="preserve">D-0008</t>
        </is>
      </c>
      <c r="B150">
        <f>TEXT(0,"yyyy-mm-dd")</f>
      </c>
      <c r="C150">
        <f>TYPE(B150)</f>
      </c>
      <c r="D150">
        <f>IFERROR(ERROR.TYPE(B150),"")</f>
      </c>
      <c r="E150">
        <f>LEN(B150&amp;"")</f>
      </c>
    </row>
    <row r="151">
      <c r="A151" s="2" t="inlineStr">
        <is>
          <t xml:space="preserve">D-0009</t>
        </is>
      </c>
      <c r="B151" s="2">
        <f>DAY(60)</f>
      </c>
      <c r="C151" s="2">
        <f>TYPE(B151)</f>
      </c>
      <c r="D151" s="2">
        <f>IFERROR(ERROR.TYPE(B151),"")</f>
      </c>
      <c r="E151" s="2">
        <f>LEN(B151&amp;"")</f>
      </c>
    </row>
    <row r="152">
      <c r="A152" t="inlineStr">
        <is>
          <t xml:space="preserve">D-0010</t>
        </is>
      </c>
      <c r="B152">
        <f>MONTH(60)</f>
      </c>
      <c r="C152">
        <f>TYPE(B152)</f>
      </c>
      <c r="D152">
        <f>IFERROR(ERROR.TYPE(B152),"")</f>
      </c>
      <c r="E152">
        <f>LEN(B152&amp;"")</f>
      </c>
    </row>
    <row r="153">
      <c r="A153" s="2" t="inlineStr">
        <is>
          <t xml:space="preserve">D-0011</t>
        </is>
      </c>
      <c r="B153" s="2">
        <f>TEXT(-1,"yyyy-mm-dd")</f>
      </c>
      <c r="C153" s="2">
        <f>TYPE(B153)</f>
      </c>
      <c r="D153" s="2">
        <f>IFERROR(ERROR.TYPE(B153),"")</f>
      </c>
      <c r="E153" s="2">
        <f>LEN(B153&amp;"")</f>
      </c>
    </row>
    <row r="154">
      <c r="A154" t="inlineStr">
        <is>
          <t xml:space="preserve">D-0012</t>
        </is>
      </c>
      <c r="B154">
        <f>YEAR(-1)</f>
      </c>
      <c r="C154">
        <f>TYPE(B154)</f>
      </c>
      <c r="D154">
        <f>IFERROR(ERROR.TYPE(B154),"")</f>
      </c>
      <c r="E154">
        <f>LEN(B154&amp;"")</f>
      </c>
    </row>
    <row r="155">
      <c r="A155" s="2" t="inlineStr">
        <is>
          <t xml:space="preserve">D-0013</t>
        </is>
      </c>
      <c r="B155" s="2">
        <f>DATE(1899,12,29)</f>
      </c>
      <c r="C155" s="2">
        <f>TYPE(B155)</f>
      </c>
      <c r="D155" s="2">
        <f>IFERROR(ERROR.TYPE(B155),"")</f>
      </c>
      <c r="E155" s="2">
        <f>LEN(B155&amp;"")</f>
      </c>
    </row>
    <row r="156">
      <c r="A156" t="inlineStr">
        <is>
          <t xml:space="preserve">D-0014</t>
        </is>
      </c>
      <c r="B156">
        <f>DATE(2026,10,27)</f>
      </c>
      <c r="C156">
        <f>TYPE(B156)</f>
      </c>
      <c r="D156">
        <f>IFERROR(ERROR.TYPE(B156),"")</f>
      </c>
      <c r="E156">
        <f>LEN(B156&amp;"")</f>
      </c>
    </row>
    <row r="157">
      <c r="A157" s="2" t="inlineStr">
        <is>
          <t xml:space="preserve">D-0015</t>
        </is>
      </c>
      <c r="B157" s="2">
        <f>DATE(0,1,1)</f>
      </c>
      <c r="C157" s="2">
        <f>TYPE(B157)</f>
      </c>
      <c r="D157" s="2">
        <f>IFERROR(ERROR.TYPE(B157),"")</f>
      </c>
      <c r="E157" s="2">
        <f>LEN(B157&amp;"")</f>
      </c>
    </row>
    <row r="158">
      <c r="A158" t="inlineStr">
        <is>
          <t xml:space="preserve">D-0016</t>
        </is>
      </c>
      <c r="B158">
        <f>DATE(99,12,31)</f>
      </c>
      <c r="C158">
        <f>TYPE(B158)</f>
      </c>
      <c r="D158">
        <f>IFERROR(ERROR.TYPE(B158),"")</f>
      </c>
      <c r="E158">
        <f>LEN(B158&amp;"")</f>
      </c>
    </row>
    <row r="159">
      <c r="A159" s="2" t="inlineStr">
        <is>
          <t xml:space="preserve">D-0017</t>
        </is>
      </c>
      <c r="B159" s="2">
        <f>DATE(119,2,1)</f>
      </c>
      <c r="C159" s="2">
        <f>TYPE(B159)</f>
      </c>
      <c r="D159" s="2">
        <f>IFERROR(ERROR.TYPE(B159),"")</f>
      </c>
      <c r="E159" s="2">
        <f>LEN(B159&amp;"")</f>
      </c>
    </row>
    <row r="160">
      <c r="A160" t="inlineStr">
        <is>
          <t xml:space="preserve">D-0018</t>
        </is>
      </c>
      <c r="B160">
        <f>DATE(-1,1,1)</f>
      </c>
      <c r="C160">
        <f>TYPE(B160)</f>
      </c>
      <c r="D160">
        <f>IFERROR(ERROR.TYPE(B160),"")</f>
      </c>
      <c r="E160">
        <f>LEN(B160&amp;"")</f>
      </c>
    </row>
    <row r="161">
      <c r="A161" s="2" t="inlineStr">
        <is>
          <t xml:space="preserve">D-0019</t>
        </is>
      </c>
      <c r="B161" s="2">
        <f>DATE(10000,1,1)</f>
      </c>
      <c r="C161" s="2">
        <f>TYPE(B161)</f>
      </c>
      <c r="D161" s="2">
        <f>IFERROR(ERROR.TYPE(B161),"")</f>
      </c>
      <c r="E161" s="2">
        <f>LEN(B161&amp;"")</f>
      </c>
    </row>
    <row r="162">
      <c r="A162" t="inlineStr">
        <is>
          <t xml:space="preserve">D-0020</t>
        </is>
      </c>
      <c r="B162">
        <f>DATE(9999,12,31)</f>
      </c>
      <c r="C162">
        <f>TYPE(B162)</f>
      </c>
      <c r="D162">
        <f>IFERROR(ERROR.TYPE(B162),"")</f>
      </c>
      <c r="E162">
        <f>LEN(B162&amp;"")</f>
      </c>
    </row>
    <row r="163">
      <c r="A163" s="2" t="inlineStr">
        <is>
          <t xml:space="preserve">D-0021</t>
        </is>
      </c>
      <c r="B163" s="2">
        <f>DATEVALUE("1/1/29")</f>
      </c>
      <c r="C163" s="2">
        <f>TYPE(B163)</f>
      </c>
      <c r="D163" s="2">
        <f>IFERROR(ERROR.TYPE(B163),"")</f>
      </c>
      <c r="E163" s="2">
        <f>LEN(B163&amp;"")</f>
      </c>
    </row>
    <row r="164">
      <c r="A164" t="inlineStr">
        <is>
          <t xml:space="preserve">D-0022</t>
        </is>
      </c>
      <c r="B164">
        <f>DATEVALUE("1/1/30")</f>
      </c>
      <c r="C164">
        <f>TYPE(B164)</f>
      </c>
      <c r="D164">
        <f>IFERROR(ERROR.TYPE(B164),"")</f>
      </c>
      <c r="E164">
        <f>LEN(B164&amp;"")</f>
      </c>
    </row>
    <row r="165">
      <c r="A165" s="2" t="inlineStr">
        <is>
          <t xml:space="preserve">D-0023</t>
        </is>
      </c>
      <c r="B165" s="2">
        <f>TEXT(DATE(2026,10,27)+0.5,"yyyy-mm-dd hh:mm")</f>
      </c>
      <c r="C165" s="2">
        <f>TYPE(B165)</f>
      </c>
      <c r="D165" s="2">
        <f>IFERROR(ERROR.TYPE(B165),"")</f>
      </c>
      <c r="E165" s="2">
        <f>LEN(B165&amp;"")</f>
      </c>
    </row>
    <row r="166">
      <c r="A166" t="inlineStr">
        <is>
          <t xml:space="preserve">D-0024</t>
        </is>
      </c>
      <c r="B166">
        <f>DATE(2024,2,29)+365</f>
      </c>
      <c r="C166">
        <f>TYPE(B166)</f>
      </c>
      <c r="D166">
        <f>IFERROR(ERROR.TYPE(B166),"")</f>
      </c>
      <c r="E166">
        <f>LEN(B166&amp;"")</f>
      </c>
    </row>
    <row r="167">
      <c r="A167" s="2" t="inlineStr">
        <is>
          <t xml:space="preserve">D-0025</t>
        </is>
      </c>
      <c r="B167" s="2">
        <f>DATE(2100,2,29)</f>
      </c>
      <c r="C167" s="2">
        <f>TYPE(B167)</f>
      </c>
      <c r="D167" s="2">
        <f>IFERROR(ERROR.TYPE(B167),"")</f>
      </c>
      <c r="E167" s="2">
        <f>LEN(B167&amp;"")</f>
      </c>
    </row>
    <row r="168">
      <c r="A168" t="inlineStr">
        <is>
          <t xml:space="preserve">D-0026</t>
        </is>
      </c>
      <c r="B168">
        <f>TEXT(2958465,"yyyy-mm-dd")</f>
      </c>
      <c r="C168">
        <f>TYPE(B168)</f>
      </c>
      <c r="D168">
        <f>IFERROR(ERROR.TYPE(B168),"")</f>
      </c>
      <c r="E168">
        <f>LEN(B168&amp;"")</f>
      </c>
    </row>
    <row r="169">
      <c r="A169" s="2" t="inlineStr">
        <is>
          <t xml:space="preserve">D-0027</t>
        </is>
      </c>
      <c r="B169" s="2">
        <f>TEXT(2958466,"yyyy-mm-dd")</f>
      </c>
      <c r="C169" s="2">
        <f>TYPE(B169)</f>
      </c>
      <c r="D169" s="2">
        <f>IFERROR(ERROR.TYPE(B169),"")</f>
      </c>
      <c r="E169" s="2">
        <f>LEN(B169&amp;"")</f>
      </c>
    </row>
    <row r="170">
      <c r="A170" t="inlineStr">
        <is>
          <t xml:space="preserve">D-0028</t>
        </is>
      </c>
      <c r="B170">
        <f>VALUE("1900-02-29")</f>
      </c>
      <c r="C170">
        <f>TYPE(B170)</f>
      </c>
      <c r="D170">
        <f>IFERROR(ERROR.TYPE(B170),"")</f>
      </c>
      <c r="E170">
        <f>LEN(B170&amp;"")</f>
      </c>
    </row>
    <row r="171">
      <c r="A171" s="2" t="inlineStr">
        <is>
          <t xml:space="preserve">L-0001</t>
        </is>
      </c>
      <c r="B171" s="2">
        <f>VLOOKUP(25,Inputs!E1:F5,2,TRUE)</f>
      </c>
      <c r="C171" s="2">
        <f>TYPE(B171)</f>
      </c>
      <c r="D171" s="2">
        <f>IFERROR(ERROR.TYPE(B171),"")</f>
      </c>
      <c r="E171" s="2">
        <f>LEN(B171&amp;"")</f>
      </c>
    </row>
    <row r="172">
      <c r="A172" t="inlineStr">
        <is>
          <t xml:space="preserve">L-0002</t>
        </is>
      </c>
      <c r="B172">
        <f>VLOOKUP(45,Inputs!E1:F5,2,TRUE)</f>
      </c>
      <c r="C172">
        <f>TYPE(B172)</f>
      </c>
      <c r="D172">
        <f>IFERROR(ERROR.TYPE(B172),"")</f>
      </c>
      <c r="E172">
        <f>LEN(B172&amp;"")</f>
      </c>
    </row>
    <row r="173">
      <c r="A173" s="2" t="inlineStr">
        <is>
          <t xml:space="preserve">L-0003</t>
        </is>
      </c>
      <c r="B173" s="2">
        <f>MATCH(35,Inputs!E1:E5,1)</f>
      </c>
      <c r="C173" s="2">
        <f>TYPE(B173)</f>
      </c>
      <c r="D173" s="2">
        <f>IFERROR(ERROR.TYPE(B173),"")</f>
      </c>
      <c r="E173" s="2">
        <f>LEN(B173&amp;"")</f>
      </c>
    </row>
    <row r="174">
      <c r="A174" t="inlineStr">
        <is>
          <t xml:space="preserve">L-0004</t>
        </is>
      </c>
      <c r="B174">
        <f>MATCH(5,Inputs!E1:E5,1)</f>
      </c>
      <c r="C174">
        <f>TYPE(B174)</f>
      </c>
      <c r="D174">
        <f>IFERROR(ERROR.TYPE(B174),"")</f>
      </c>
      <c r="E174">
        <f>LEN(B174&amp;"")</f>
      </c>
    </row>
    <row r="175">
      <c r="A175" s="2" t="inlineStr">
        <is>
          <t xml:space="preserve">L-0005</t>
        </is>
      </c>
      <c r="B175" s="2">
        <f>LOOKUP(25,Inputs!E1:E5,Inputs!F1:F5)</f>
      </c>
      <c r="C175" s="2">
        <f>TYPE(B175)</f>
      </c>
      <c r="D175" s="2">
        <f>IFERROR(ERROR.TYPE(B175),"")</f>
      </c>
      <c r="E175" s="2">
        <f>LEN(B175&amp;"")</f>
      </c>
    </row>
    <row r="176">
      <c r="A176" t="inlineStr">
        <is>
          <t xml:space="preserve">L-0006</t>
        </is>
      </c>
      <c r="B176">
        <f>XLOOKUP(25,Inputs!E1:E5,Inputs!F1:F5,,-1)</f>
      </c>
      <c r="C176">
        <f>TYPE(B176)</f>
      </c>
      <c r="D176">
        <f>IFERROR(ERROR.TYPE(B176),"")</f>
      </c>
      <c r="E176">
        <f>LEN(B176&amp;"")</f>
      </c>
    </row>
    <row r="177">
      <c r="A177" s="2" t="inlineStr">
        <is>
          <t xml:space="preserve">L-0007</t>
        </is>
      </c>
      <c r="B177" s="2">
        <f>MATCH(TRUE,Inputs!A1:A6,0)</f>
      </c>
      <c r="C177" s="2">
        <f>TYPE(B177)</f>
      </c>
      <c r="D177" s="2">
        <f>IFERROR(ERROR.TYPE(B177),"")</f>
      </c>
      <c r="E177" s="2">
        <f>LEN(B177&amp;"")</f>
      </c>
    </row>
    <row r="178">
      <c r="A178" t="inlineStr">
        <is>
          <t xml:space="preserve">L-0008</t>
        </is>
      </c>
      <c r="B178">
        <f>MATCH("20",Inputs!A1:A6,0)</f>
      </c>
      <c r="C178">
        <f>TYPE(B178)</f>
      </c>
      <c r="D178">
        <f>IFERROR(ERROR.TYPE(B178),"")</f>
      </c>
      <c r="E178">
        <f>LEN(B178&amp;"")</f>
      </c>
    </row>
    <row r="179">
      <c r="A179" s="2" t="inlineStr">
        <is>
          <t xml:space="preserve">L-0009</t>
        </is>
      </c>
      <c r="B179" s="2">
        <f>MATCH(20,Inputs!A1:A6,0)</f>
      </c>
      <c r="C179" s="2">
        <f>TYPE(B179)</f>
      </c>
      <c r="D179" s="2">
        <f>IFERROR(ERROR.TYPE(B179),"")</f>
      </c>
      <c r="E179" s="2">
        <f>LEN(B179&amp;"")</f>
      </c>
    </row>
    <row r="180">
      <c r="A180" t="inlineStr">
        <is>
          <t xml:space="preserve">L-0010</t>
        </is>
      </c>
      <c r="B180">
        <f>VLOOKUP(Inputs!O1,Inputs!C2:D5,2,TRUE)</f>
      </c>
      <c r="C180">
        <f>TYPE(B180)</f>
      </c>
      <c r="D180">
        <f>IFERROR(ERROR.TYPE(B180),"")</f>
      </c>
      <c r="E180">
        <f>LEN(B180&amp;"")</f>
      </c>
    </row>
    <row r="181">
      <c r="A181" s="2" t="inlineStr">
        <is>
          <t xml:space="preserve">L-0011</t>
        </is>
      </c>
      <c r="B181" s="2">
        <f>MATCH("apple",Inputs!G1:G4,0)</f>
      </c>
      <c r="C181" s="2">
        <f>TYPE(B181)</f>
      </c>
      <c r="D181" s="2">
        <f>IFERROR(ERROR.TYPE(B181),"")</f>
      </c>
      <c r="E181" s="2">
        <f>LEN(B181&amp;"")</f>
      </c>
    </row>
    <row r="182">
      <c r="A182" t="inlineStr">
        <is>
          <t xml:space="preserve">L-0012</t>
        </is>
      </c>
      <c r="B182">
        <f>XLOOKUP("apple",Inputs!G1:G4,Inputs!H1:H4,,0,-1)</f>
      </c>
      <c r="C182">
        <f>TYPE(B182)</f>
      </c>
      <c r="D182">
        <f>IFERROR(ERROR.TYPE(B182),"")</f>
      </c>
      <c r="E182">
        <f>LEN(B182&amp;"")</f>
      </c>
    </row>
    <row r="183">
      <c r="A183" s="2" t="inlineStr">
        <is>
          <t xml:space="preserve">L-0013</t>
        </is>
      </c>
      <c r="B183" s="2">
        <f>VLOOKUP("*an*",Inputs!G1:H4,2,FALSE)</f>
      </c>
      <c r="C183" s="2">
        <f>TYPE(B183)</f>
      </c>
      <c r="D183" s="2">
        <f>IFERROR(ERROR.TYPE(B183),"")</f>
      </c>
      <c r="E183" s="2">
        <f>LEN(B183&amp;"")</f>
      </c>
    </row>
    <row r="184">
      <c r="A184" t="inlineStr">
        <is>
          <t xml:space="preserve">L-0014</t>
        </is>
      </c>
      <c r="B184">
        <f>MATCH(100,Inputs!C2:C5,0)</f>
      </c>
      <c r="C184">
        <f>TYPE(B184)</f>
      </c>
      <c r="D184">
        <f>IFERROR(ERROR.TYPE(B184),"")</f>
      </c>
      <c r="E184">
        <f>LEN(B184&amp;"")</f>
      </c>
    </row>
    <row r="185">
      <c r="A185" s="2" t="inlineStr">
        <is>
          <t xml:space="preserve">L-0015</t>
        </is>
      </c>
      <c r="B185" s="2">
        <f>VLOOKUP(99.99999999999999,Inputs!C2:D5,2,TRUE)</f>
      </c>
      <c r="C185" s="2">
        <f>TYPE(B185)</f>
      </c>
      <c r="D185" s="2">
        <f>IFERROR(ERROR.TYPE(B185),"")</f>
      </c>
      <c r="E185" s="2">
        <f>LEN(B185&amp;"")</f>
      </c>
    </row>
    <row r="186">
      <c r="A186" t="inlineStr">
        <is>
          <t xml:space="preserve">L-0016</t>
        </is>
      </c>
      <c r="B186">
        <f>ROWS(Inputs!B:B)</f>
      </c>
      <c r="C186">
        <f>TYPE(B186)</f>
      </c>
      <c r="D186">
        <f>IFERROR(ERROR.TYPE(B186),"")</f>
      </c>
      <c r="E186">
        <f>LEN(B186&amp;"")</f>
      </c>
    </row>
    <row r="187">
      <c r="A187" s="2" t="inlineStr">
        <is>
          <t xml:space="preserve">L-0017</t>
        </is>
      </c>
      <c r="B187" s="2">
        <f>COUNTA(Inputs!B:B)</f>
      </c>
      <c r="C187" s="2">
        <f>TYPE(B187)</f>
      </c>
      <c r="D187" s="2">
        <f>IFERROR(ERROR.TYPE(B187),"")</f>
      </c>
      <c r="E187" s="2">
        <f>LEN(B187&amp;"")</f>
      </c>
    </row>
    <row r="188">
      <c r="A188" t="inlineStr">
        <is>
          <t xml:space="preserve">L-0018</t>
        </is>
      </c>
      <c r="B188">
        <f>MATCH(10,{30,20,10},-1)</f>
      </c>
      <c r="C188">
        <f>TYPE(B188)</f>
      </c>
      <c r="D188">
        <f>IFERROR(ERROR.TYPE(B188),"")</f>
      </c>
      <c r="E188">
        <f>LEN(B188&amp;"")</f>
      </c>
    </row>
    <row r="189">
      <c r="A189" s="2" t="inlineStr">
        <is>
          <t xml:space="preserve">L-0019</t>
        </is>
      </c>
      <c r="B189" s="2">
        <f>MATCH(25,{30,20,10},-1)</f>
      </c>
      <c r="C189" s="2">
        <f>TYPE(B189)</f>
      </c>
      <c r="D189" s="2">
        <f>IFERROR(ERROR.TYPE(B189),"")</f>
      </c>
      <c r="E189" s="2">
        <f>LEN(B189&amp;"")</f>
      </c>
    </row>
    <row r="190">
      <c r="A190" t="inlineStr">
        <is>
          <t xml:space="preserve">L-0020</t>
        </is>
      </c>
      <c r="B190">
        <f>VLOOKUP("BANANA",Inputs!G1:H4,2,FALSE)</f>
      </c>
      <c r="C190">
        <f>TYPE(B190)</f>
      </c>
      <c r="D190">
        <f>IFERROR(ERROR.TYPE(B190),"")</f>
      </c>
      <c r="E190">
        <f>LEN(B190&amp;"")</f>
      </c>
    </row>
    <row r="191">
      <c r="A191" s="2" t="inlineStr">
        <is>
          <t xml:space="preserve">L-0021</t>
        </is>
      </c>
      <c r="B191" s="2">
        <f>HLOOKUP("C",Inputs!K1:N2,2,FALSE)</f>
      </c>
      <c r="C191" s="2">
        <f>TYPE(B191)</f>
      </c>
      <c r="D191" s="2">
        <f>IFERROR(ERROR.TYPE(B191),"")</f>
      </c>
      <c r="E191" s="2">
        <f>LEN(B191&amp;"")</f>
      </c>
    </row>
    <row r="192">
      <c r="A192" t="inlineStr">
        <is>
          <t xml:space="preserve">L-0022</t>
        </is>
      </c>
      <c r="B192">
        <f>VLOOKUP(500,Inputs!C2:D5,2,TRUE)</f>
      </c>
      <c r="C192">
        <f>TYPE(B192)</f>
      </c>
      <c r="D192">
        <f>IFERROR(ERROR.TYPE(B192),"")</f>
      </c>
      <c r="E192">
        <f>LEN(B192&amp;"")</f>
      </c>
    </row>
    <row r="193">
      <c r="A193" s="2" t="inlineStr">
        <is>
          <t xml:space="preserve">S-0001</t>
        </is>
      </c>
      <c r="B193" s="2">
        <f>Inputs!J1</f>
      </c>
      <c r="C193" s="2">
        <f>TYPE(B193)</f>
      </c>
      <c r="D193" s="2">
        <f>IFERROR(ERROR.TYPE(B193),"")</f>
      </c>
      <c r="E193" s="2">
        <f>LEN(B193&amp;"")</f>
      </c>
    </row>
    <row r="194">
      <c r="A194" t="inlineStr">
        <is>
          <t xml:space="preserve">S-0002</t>
        </is>
      </c>
      <c r="B194">
        <f>Inputs!J1&amp;""</f>
      </c>
      <c r="C194">
        <f>TYPE(B194)</f>
      </c>
      <c r="D194">
        <f>IFERROR(ERROR.TYPE(B194),"")</f>
      </c>
      <c r="E194">
        <f>LEN(B194&amp;"")</f>
      </c>
    </row>
    <row r="195">
      <c r="A195" s="2" t="inlineStr">
        <is>
          <t xml:space="preserve">S-0003</t>
        </is>
      </c>
      <c r="B195" s="2">
        <f>LEN(Inputs!J1)</f>
      </c>
      <c r="C195" s="2">
        <f>TYPE(B195)</f>
      </c>
      <c r="D195" s="2">
        <f>IFERROR(ERROR.TYPE(B195),"")</f>
      </c>
      <c r="E195" s="2">
        <f>LEN(B195&amp;"")</f>
      </c>
    </row>
    <row r="196">
      <c r="A196" t="inlineStr">
        <is>
          <t xml:space="preserve">S-0004</t>
        </is>
      </c>
      <c r="B196">
        <f>ISTEXT(Inputs!J1)</f>
      </c>
      <c r="C196">
        <f>TYPE(B196)</f>
      </c>
      <c r="D196">
        <f>IFERROR(ERROR.TYPE(B196),"")</f>
      </c>
      <c r="E196">
        <f>LEN(B196&amp;"")</f>
      </c>
    </row>
    <row r="197">
      <c r="A197" s="2" t="inlineStr">
        <is>
          <t xml:space="preserve">S-0005</t>
        </is>
      </c>
      <c r="B197" s="2">
        <f>Inputs!J2&amp;""</f>
      </c>
      <c r="C197" s="2">
        <f>TYPE(B197)</f>
      </c>
      <c r="D197" s="2">
        <f>IFERROR(ERROR.TYPE(B197),"")</f>
      </c>
      <c r="E197" s="2">
        <f>LEN(B197&amp;"")</f>
      </c>
    </row>
    <row r="198">
      <c r="A198" t="inlineStr">
        <is>
          <t xml:space="preserve">S-0006</t>
        </is>
      </c>
      <c r="B198">
        <f>ISNUMBER(Inputs!J2)</f>
      </c>
      <c r="C198">
        <f>TYPE(B198)</f>
      </c>
      <c r="D198">
        <f>IFERROR(ERROR.TYPE(B198),"")</f>
      </c>
      <c r="E198">
        <f>LEN(B198&amp;"")</f>
      </c>
    </row>
    <row r="199">
      <c r="A199" s="2" t="inlineStr">
        <is>
          <t xml:space="preserve">S-0007</t>
        </is>
      </c>
      <c r="B199" s="2">
        <f>Inputs!J3</f>
      </c>
      <c r="C199" s="2">
        <f>TYPE(B199)</f>
      </c>
      <c r="D199" s="2">
        <f>IFERROR(ERROR.TYPE(B199),"")</f>
      </c>
      <c r="E199" s="2">
        <f>LEN(B199&amp;"")</f>
      </c>
    </row>
    <row r="200">
      <c r="A200" t="inlineStr">
        <is>
          <t xml:space="preserve">S-0008</t>
        </is>
      </c>
      <c r="B200">
        <f>Inputs!J4+0</f>
      </c>
      <c r="C200">
        <f>TYPE(B200)</f>
      </c>
      <c r="D200">
        <f>IFERROR(ERROR.TYPE(B200),"")</f>
      </c>
      <c r="E200">
        <f>LEN(B200&amp;"")</f>
      </c>
    </row>
    <row r="201">
      <c r="A201" s="2" t="inlineStr">
        <is>
          <t xml:space="preserve">S-0009</t>
        </is>
      </c>
      <c r="B201" s="2">
        <f>LEN(Inputs!J5)</f>
      </c>
      <c r="C201" s="2">
        <f>TYPE(B201)</f>
      </c>
      <c r="D201" s="2">
        <f>IFERROR(ERROR.TYPE(B201),"")</f>
      </c>
      <c r="E201" s="2">
        <f>LEN(B201&amp;"")</f>
      </c>
    </row>
    <row r="202">
      <c r="A202" t="inlineStr">
        <is>
          <t xml:space="preserve">S-0010</t>
        </is>
      </c>
      <c r="B202">
        <f>LEN(CHAR(13)&amp;"x")</f>
      </c>
      <c r="C202">
        <f>TYPE(B202)</f>
      </c>
      <c r="D202">
        <f>IFERROR(ERROR.TYPE(B202),"")</f>
      </c>
      <c r="E202">
        <f>LEN(B202&amp;"")</f>
      </c>
    </row>
    <row r="203">
      <c r="A203" s="2" t="inlineStr">
        <is>
          <t xml:space="preserve">S-0011</t>
        </is>
      </c>
      <c r="B203" s="2">
        <f>COUNTIF(Inputs!J1:J6,"=1+1")</f>
      </c>
      <c r="C203" s="2">
        <f>TYPE(B203)</f>
      </c>
      <c r="D203" s="2">
        <f>IFERROR(ERROR.TYPE(B203),"")</f>
      </c>
      <c r="E203" s="2">
        <f>LEN(B203&amp;"")</f>
      </c>
    </row>
    <row r="204">
      <c r="A204" t="inlineStr">
        <is>
          <t xml:space="preserve">S-0012</t>
        </is>
      </c>
      <c r="B204">
        <f>COUNTIF(Inputs!J1:J6,"==1+1")</f>
      </c>
      <c r="C204">
        <f>TYPE(B204)</f>
      </c>
      <c r="D204">
        <f>IFERROR(ERROR.TYPE(B204),"")</f>
      </c>
      <c r="E204">
        <f>LEN(B204&amp;"")</f>
      </c>
    </row>
    <row r="205">
      <c r="A205" s="2" t="inlineStr">
        <is>
          <t xml:space="preserve">S-0013</t>
        </is>
      </c>
      <c r="B205" s="2">
        <f>COUNTIF(Inputs!P1:P4,Inputs!P2)</f>
      </c>
      <c r="C205" s="2">
        <f>TYPE(B205)</f>
      </c>
      <c r="D205" s="2">
        <f>IFERROR(ERROR.TYPE(B205),"")</f>
      </c>
      <c r="E205" s="2">
        <f>LEN(B205&amp;"")</f>
      </c>
    </row>
    <row r="206">
      <c r="A206" t="inlineStr">
        <is>
          <t xml:space="preserve">S-0014</t>
        </is>
      </c>
      <c r="B206">
        <f>SUMIF(Inputs!G1:G4,Inputs!P2,Inputs!H1:H4)</f>
      </c>
      <c r="C206">
        <f>TYPE(B206)</f>
      </c>
      <c r="D206">
        <f>IFERROR(ERROR.TYPE(B206),"")</f>
      </c>
      <c r="E206">
        <f>LEN(B206&amp;"")</f>
      </c>
    </row>
    <row r="207">
      <c r="A207" s="2" t="inlineStr">
        <is>
          <t xml:space="preserve">S-0015</t>
        </is>
      </c>
      <c r="B207" s="2">
        <f>COUNTIF(Inputs!G1:G4,Inputs!P3)</f>
      </c>
      <c r="C207" s="2">
        <f>TYPE(B207)</f>
      </c>
      <c r="D207" s="2">
        <f>IFERROR(ERROR.TYPE(B207),"")</f>
      </c>
      <c r="E207" s="2">
        <f>LEN(B207&amp;"")</f>
      </c>
    </row>
    <row r="208">
      <c r="A208" t="inlineStr">
        <is>
          <t xml:space="preserve">S-0016</t>
        </is>
      </c>
      <c r="B208">
        <f>SUMIF(Inputs!H1:H4,Inputs!P1)</f>
      </c>
      <c r="C208">
        <f>TYPE(B208)</f>
      </c>
      <c r="D208">
        <f>IFERROR(ERROR.TYPE(B208),"")</f>
      </c>
      <c r="E208">
        <f>LEN(B208&amp;"")</f>
      </c>
    </row>
    <row r="209">
      <c r="A209" s="2" t="inlineStr">
        <is>
          <t xml:space="preserve">S-0017</t>
        </is>
      </c>
      <c r="B209" s="2">
        <f>VLOOKUP(Inputs!J1,Inputs!J1:J6,1,FALSE)</f>
      </c>
      <c r="C209" s="2">
        <f>TYPE(B209)</f>
      </c>
      <c r="D209" s="2">
        <f>IFERROR(ERROR.TYPE(B209),"")</f>
      </c>
      <c r="E209" s="2">
        <f>LEN(B209&amp;"")</f>
      </c>
    </row>
    <row r="210">
      <c r="A210" t="inlineStr">
        <is>
          <t xml:space="preserve">S-0018</t>
        </is>
      </c>
      <c r="B210">
        <f>MATCH(Inputs!J6,Inputs!J1:J6,0)</f>
      </c>
      <c r="C210">
        <f>TYPE(B210)</f>
      </c>
      <c r="D210">
        <f>IFERROR(ERROR.TYPE(B210),"")</f>
      </c>
      <c r="E210">
        <f>LEN(B210&amp;"")</f>
      </c>
    </row>
    <row r="211">
      <c r="A211" s="2" t="inlineStr">
        <is>
          <t xml:space="preserve">S-0019</t>
        </is>
      </c>
      <c r="B211" s="2">
        <f>HYPERLINK("http://example.com","label")</f>
      </c>
      <c r="C211" s="2">
        <f>TYPE(B211)</f>
      </c>
      <c r="D211" s="2">
        <f>IFERROR(ERROR.TYPE(B211),"")</f>
      </c>
      <c r="E211" s="2">
        <f>LEN(B211&amp;"")</f>
      </c>
    </row>
    <row r="212">
      <c r="A212" t="inlineStr">
        <is>
          <t xml:space="preserve">S-0020</t>
        </is>
      </c>
      <c r="B212">
        <f>VALUE(Inputs!J1)</f>
      </c>
      <c r="C212">
        <f>TYPE(B212)</f>
      </c>
      <c r="D212">
        <f>IFERROR(ERROR.TYPE(B212),"")</f>
      </c>
      <c r="E212">
        <f>LEN(B212&amp;"")</f>
      </c>
    </row>
    <row r="213">
      <c r="A213" s="2" t="inlineStr">
        <is>
          <t xml:space="preserve">S-0021</t>
        </is>
      </c>
      <c r="B213" s="2">
        <f>Inputs!J1="=1+1"</f>
      </c>
      <c r="C213" s="2">
        <f>TYPE(B213)</f>
      </c>
      <c r="D213" s="2">
        <f>IFERROR(ERROR.TYPE(B213),"")</f>
      </c>
      <c r="E213" s="2">
        <f>LEN(B213&amp;"")</f>
      </c>
    </row>
    <row r="214">
      <c r="A214" t="inlineStr">
        <is>
          <t xml:space="preserve">S-0022</t>
        </is>
      </c>
      <c r="B214">
        <f>TEXT(5,Inputs!P4)</f>
      </c>
      <c r="C214">
        <f>TYPE(B214)</f>
      </c>
      <c r="D214">
        <f>IFERROR(ERROR.TYPE(B214),"")</f>
      </c>
      <c r="E214">
        <f>LEN(B214&amp;"")</f>
      </c>
    </row>
    <row r="215">
      <c r="A215" s="2" t="inlineStr">
        <is>
          <t xml:space="preserve">S-0023</t>
        </is>
      </c>
      <c r="B215" s="2">
        <f>IFERROR(Inputs!J1+0,"refused")</f>
      </c>
      <c r="C215" s="2">
        <f>TYPE(B215)</f>
      </c>
      <c r="D215" s="2">
        <f>IFERROR(ERROR.TYPE(B215),"")</f>
      </c>
      <c r="E215" s="2">
        <f>LEN(B215&amp;"")</f>
      </c>
    </row>
    <row r="216">
      <c r="A216" t="inlineStr">
        <is>
          <t xml:space="preserve">S-0024</t>
        </is>
      </c>
      <c r="B216">
        <f>LEN(Inputs!J6)</f>
      </c>
      <c r="C216">
        <f>TYPE(B216)</f>
      </c>
      <c r="D216">
        <f>IFERROR(ERROR.TYPE(B216),"")</f>
      </c>
      <c r="E216">
        <f>LEN(B216&amp;"")</f>
      </c>
    </row>
    <row r="217">
      <c r="A217" s="2" t="inlineStr">
        <is>
          <t xml:space="preserve">E-0001</t>
        </is>
      </c>
      <c r="B217" s="2">
        <f>ADD(1,2)</f>
      </c>
      <c r="C217" s="2">
        <f>TYPE(B217)</f>
      </c>
      <c r="D217" s="2">
        <f>IFERROR(ERROR.TYPE(B217),"")</f>
      </c>
      <c r="E217" s="2">
        <f>LEN(B217&amp;"")</f>
      </c>
    </row>
    <row r="218">
      <c r="A218" t="inlineStr">
        <is>
          <t xml:space="preserve">E-0002</t>
        </is>
      </c>
      <c r="B218">
        <f>ADD("1",2)</f>
      </c>
      <c r="C218">
        <f>TYPE(B218)</f>
      </c>
      <c r="D218">
        <f>IFERROR(ERROR.TYPE(B218),"")</f>
      </c>
      <c r="E218">
        <f>LEN(B218&amp;"")</f>
      </c>
    </row>
    <row r="219">
      <c r="A219" s="2" t="inlineStr">
        <is>
          <t xml:space="preserve">E-0003</t>
        </is>
      </c>
      <c r="B219" s="2">
        <f>ADD(1,"x")</f>
      </c>
      <c r="C219" s="2">
        <f>TYPE(B219)</f>
      </c>
      <c r="D219" s="2">
        <f>IFERROR(ERROR.TYPE(B219),"")</f>
      </c>
      <c r="E219" s="2">
        <f>LEN(B219&amp;"")</f>
      </c>
    </row>
    <row r="220">
      <c r="A220" t="inlineStr">
        <is>
          <t xml:space="preserve">E-0004</t>
        </is>
      </c>
      <c r="B220">
        <f>MINUS(5,3)</f>
      </c>
      <c r="C220">
        <f>TYPE(B220)</f>
      </c>
      <c r="D220">
        <f>IFERROR(ERROR.TYPE(B220),"")</f>
      </c>
      <c r="E220">
        <f>LEN(B220&amp;"")</f>
      </c>
    </row>
    <row r="221">
      <c r="A221" s="2" t="inlineStr">
        <is>
          <t xml:space="preserve">E-0005</t>
        </is>
      </c>
      <c r="B221" s="2">
        <f>MINUS(DATE(2026,10,27),DATE(2026,10,1))</f>
      </c>
      <c r="C221" s="2">
        <f>TYPE(B221)</f>
      </c>
      <c r="D221" s="2">
        <f>IFERROR(ERROR.TYPE(B221),"")</f>
      </c>
      <c r="E221" s="2">
        <f>LEN(B221&amp;"")</f>
      </c>
    </row>
    <row r="222">
      <c r="A222" t="inlineStr">
        <is>
          <t xml:space="preserve">E-0006</t>
        </is>
      </c>
      <c r="B222">
        <f>MINUS(TRUE,1)</f>
      </c>
      <c r="C222">
        <f>TYPE(B222)</f>
      </c>
      <c r="D222">
        <f>IFERROR(ERROR.TYPE(B222),"")</f>
      </c>
      <c r="E222">
        <f>LEN(B222&amp;"")</f>
      </c>
    </row>
    <row r="223">
      <c r="A223" s="2" t="inlineStr">
        <is>
          <t xml:space="preserve">E-0007</t>
        </is>
      </c>
      <c r="B223" s="2">
        <f>MULTIPLY(2,3)</f>
      </c>
      <c r="C223" s="2">
        <f>TYPE(B223)</f>
      </c>
      <c r="D223" s="2">
        <f>IFERROR(ERROR.TYPE(B223),"")</f>
      </c>
      <c r="E223" s="2">
        <f>LEN(B223&amp;"")</f>
      </c>
    </row>
    <row r="224">
      <c r="A224" t="inlineStr">
        <is>
          <t xml:space="preserve">E-0008</t>
        </is>
      </c>
      <c r="B224">
        <f>MULTIPLY(TRUE,3)</f>
      </c>
      <c r="C224">
        <f>TYPE(B224)</f>
      </c>
      <c r="D224">
        <f>IFERROR(ERROR.TYPE(B224),"")</f>
      </c>
      <c r="E224">
        <f>LEN(B224&amp;"")</f>
      </c>
    </row>
    <row r="225">
      <c r="A225" s="2" t="inlineStr">
        <is>
          <t xml:space="preserve">E-0009</t>
        </is>
      </c>
      <c r="B225" s="2">
        <f>MULTIPLY(Inputs!O1,3)</f>
      </c>
      <c r="C225" s="2">
        <f>TYPE(B225)</f>
      </c>
      <c r="D225" s="2">
        <f>IFERROR(ERROR.TYPE(B225),"")</f>
      </c>
      <c r="E225" s="2">
        <f>LEN(B225&amp;"")</f>
      </c>
    </row>
    <row r="226">
      <c r="A226" t="inlineStr">
        <is>
          <t xml:space="preserve">E-0010</t>
        </is>
      </c>
      <c r="B226">
        <f>DIVIDE(6,3)</f>
      </c>
      <c r="C226">
        <f>TYPE(B226)</f>
      </c>
      <c r="D226">
        <f>IFERROR(ERROR.TYPE(B226),"")</f>
      </c>
      <c r="E226">
        <f>LEN(B226&amp;"")</f>
      </c>
    </row>
    <row r="227">
      <c r="A227" s="2" t="inlineStr">
        <is>
          <t xml:space="preserve">E-0011</t>
        </is>
      </c>
      <c r="B227" s="2">
        <f>DIVIDE(1,0)</f>
      </c>
      <c r="C227" s="2">
        <f>TYPE(B227)</f>
      </c>
      <c r="D227" s="2">
        <f>IFERROR(ERROR.TYPE(B227),"")</f>
      </c>
      <c r="E227" s="2">
        <f>LEN(B227&amp;"")</f>
      </c>
    </row>
    <row r="228">
      <c r="A228" t="inlineStr">
        <is>
          <t xml:space="preserve">E-0012</t>
        </is>
      </c>
      <c r="B228">
        <f>DIVIDE(1,3)</f>
      </c>
      <c r="C228">
        <f>TYPE(B228)</f>
      </c>
      <c r="D228">
        <f>IFERROR(ERROR.TYPE(B228),"")</f>
      </c>
      <c r="E228">
        <f>LEN(B228&amp;"")</f>
      </c>
    </row>
    <row r="229">
      <c r="A229" s="2" t="inlineStr">
        <is>
          <t xml:space="preserve">E-0013</t>
        </is>
      </c>
      <c r="B229" s="2">
        <f>POW(2,3)</f>
      </c>
      <c r="C229" s="2">
        <f>TYPE(B229)</f>
      </c>
      <c r="D229" s="2">
        <f>IFERROR(ERROR.TYPE(B229),"")</f>
      </c>
      <c r="E229" s="2">
        <f>LEN(B229&amp;"")</f>
      </c>
    </row>
    <row r="230">
      <c r="A230" t="inlineStr">
        <is>
          <t xml:space="preserve">E-0014</t>
        </is>
      </c>
      <c r="B230">
        <f>POW(-8,1/3)</f>
      </c>
      <c r="C230">
        <f>TYPE(B230)</f>
      </c>
      <c r="D230">
        <f>IFERROR(ERROR.TYPE(B230),"")</f>
      </c>
      <c r="E230">
        <f>LEN(B230&amp;"")</f>
      </c>
    </row>
    <row r="231">
      <c r="A231" s="2" t="inlineStr">
        <is>
          <t xml:space="preserve">E-0015</t>
        </is>
      </c>
      <c r="B231" s="2">
        <f>POW(4,0.5)</f>
      </c>
      <c r="C231" s="2">
        <f>TYPE(B231)</f>
      </c>
      <c r="D231" s="2">
        <f>IFERROR(ERROR.TYPE(B231),"")</f>
      </c>
      <c r="E231" s="2">
        <f>LEN(B231&amp;"")</f>
      </c>
    </row>
    <row r="232">
      <c r="A232" t="inlineStr">
        <is>
          <t xml:space="preserve">E-0016</t>
        </is>
      </c>
      <c r="B232">
        <f>UMINUS(3)</f>
      </c>
      <c r="C232">
        <f>TYPE(B232)</f>
      </c>
      <c r="D232">
        <f>IFERROR(ERROR.TYPE(B232),"")</f>
      </c>
      <c r="E232">
        <f>LEN(B232&amp;"")</f>
      </c>
    </row>
    <row r="233">
      <c r="A233" s="2" t="inlineStr">
        <is>
          <t xml:space="preserve">E-0017</t>
        </is>
      </c>
      <c r="B233" s="2">
        <f>UMINUS("3")</f>
      </c>
      <c r="C233" s="2">
        <f>TYPE(B233)</f>
      </c>
      <c r="D233" s="2">
        <f>IFERROR(ERROR.TYPE(B233),"")</f>
      </c>
      <c r="E233" s="2">
        <f>LEN(B233&amp;"")</f>
      </c>
    </row>
    <row r="234">
      <c r="A234" t="inlineStr">
        <is>
          <t xml:space="preserve">E-0018</t>
        </is>
      </c>
      <c r="B234">
        <f>UMINUS(TRUE)</f>
      </c>
      <c r="C234">
        <f>TYPE(B234)</f>
      </c>
      <c r="D234">
        <f>IFERROR(ERROR.TYPE(B234),"")</f>
      </c>
      <c r="E234">
        <f>LEN(B234&amp;"")</f>
      </c>
    </row>
    <row r="235">
      <c r="A235" s="2" t="inlineStr">
        <is>
          <t xml:space="preserve">E-0019</t>
        </is>
      </c>
      <c r="B235" s="2">
        <f>UPLUS(3)</f>
      </c>
      <c r="C235" s="2">
        <f>TYPE(B235)</f>
      </c>
      <c r="D235" s="2">
        <f>IFERROR(ERROR.TYPE(B235),"")</f>
      </c>
      <c r="E235" s="2">
        <f>LEN(B235&amp;"")</f>
      </c>
    </row>
    <row r="236">
      <c r="A236" t="inlineStr">
        <is>
          <t xml:space="preserve">E-0020</t>
        </is>
      </c>
      <c r="B236">
        <f>UPLUS("abc")</f>
      </c>
      <c r="C236">
        <f>TYPE(B236)</f>
      </c>
      <c r="D236">
        <f>IFERROR(ERROR.TYPE(B236),"")</f>
      </c>
      <c r="E236">
        <f>LEN(B236&amp;"")</f>
      </c>
    </row>
    <row r="237">
      <c r="A237" s="2" t="inlineStr">
        <is>
          <t xml:space="preserve">E-0021</t>
        </is>
      </c>
      <c r="B237" s="2">
        <f>UPLUS(TRUE)</f>
      </c>
      <c r="C237" s="2">
        <f>TYPE(B237)</f>
      </c>
      <c r="D237" s="2">
        <f>IFERROR(ERROR.TYPE(B237),"")</f>
      </c>
      <c r="E237" s="2">
        <f>LEN(B237&amp;"")</f>
      </c>
    </row>
    <row r="238">
      <c r="A238" t="inlineStr">
        <is>
          <t xml:space="preserve">E-0022</t>
        </is>
      </c>
      <c r="B238">
        <f>UNARY_PERCENT(50)</f>
      </c>
      <c r="C238">
        <f>TYPE(B238)</f>
      </c>
      <c r="D238">
        <f>IFERROR(ERROR.TYPE(B238),"")</f>
      </c>
      <c r="E238">
        <f>LEN(B238&amp;"")</f>
      </c>
    </row>
    <row r="239">
      <c r="A239" s="2" t="inlineStr">
        <is>
          <t xml:space="preserve">E-0023</t>
        </is>
      </c>
      <c r="B239" s="2">
        <f>UNARY_PERCENT("50")</f>
      </c>
      <c r="C239" s="2">
        <f>TYPE(B239)</f>
      </c>
      <c r="D239" s="2">
        <f>IFERROR(ERROR.TYPE(B239),"")</f>
      </c>
      <c r="E239" s="2">
        <f>LEN(B239&amp;"")</f>
      </c>
    </row>
    <row r="240">
      <c r="A240" t="inlineStr">
        <is>
          <t xml:space="preserve">E-0024</t>
        </is>
      </c>
      <c r="B240">
        <f>UNARY_PERCENT(-5)</f>
      </c>
      <c r="C240">
        <f>TYPE(B240)</f>
      </c>
      <c r="D240">
        <f>IFERROR(ERROR.TYPE(B240),"")</f>
      </c>
      <c r="E240">
        <f>LEN(B240&amp;"")</f>
      </c>
    </row>
    <row r="241">
      <c r="A241" s="2" t="inlineStr">
        <is>
          <t xml:space="preserve">E-0025</t>
        </is>
      </c>
      <c r="B241" s="2">
        <f>EQ(1,1)</f>
      </c>
      <c r="C241" s="2">
        <f>TYPE(B241)</f>
      </c>
      <c r="D241" s="2">
        <f>IFERROR(ERROR.TYPE(B241),"")</f>
      </c>
      <c r="E241" s="2">
        <f>LEN(B241&amp;"")</f>
      </c>
    </row>
    <row r="242">
      <c r="A242" t="inlineStr">
        <is>
          <t xml:space="preserve">E-0026</t>
        </is>
      </c>
      <c r="B242">
        <f>EQ("a","A")</f>
      </c>
      <c r="C242">
        <f>TYPE(B242)</f>
      </c>
      <c r="D242">
        <f>IFERROR(ERROR.TYPE(B242),"")</f>
      </c>
      <c r="E242">
        <f>LEN(B242&amp;"")</f>
      </c>
    </row>
    <row r="243">
      <c r="A243" s="2" t="inlineStr">
        <is>
          <t xml:space="preserve">E-0027</t>
        </is>
      </c>
      <c r="B243" s="2">
        <f>EQ(1,"1")</f>
      </c>
      <c r="C243" s="2">
        <f>TYPE(B243)</f>
      </c>
      <c r="D243" s="2">
        <f>IFERROR(ERROR.TYPE(B243),"")</f>
      </c>
      <c r="E243" s="2">
        <f>LEN(B243&amp;"")</f>
      </c>
    </row>
    <row r="244">
      <c r="A244" t="inlineStr">
        <is>
          <t xml:space="preserve">E-0028</t>
        </is>
      </c>
      <c r="B244">
        <f>NE(1,2)</f>
      </c>
      <c r="C244">
        <f>TYPE(B244)</f>
      </c>
      <c r="D244">
        <f>IFERROR(ERROR.TYPE(B244),"")</f>
      </c>
      <c r="E244">
        <f>LEN(B244&amp;"")</f>
      </c>
    </row>
    <row r="245">
      <c r="A245" s="2" t="inlineStr">
        <is>
          <t xml:space="preserve">E-0029</t>
        </is>
      </c>
      <c r="B245" s="2">
        <f>NE("a","A")</f>
      </c>
      <c r="C245" s="2">
        <f>TYPE(B245)</f>
      </c>
      <c r="D245" s="2">
        <f>IFERROR(ERROR.TYPE(B245),"")</f>
      </c>
      <c r="E245" s="2">
        <f>LEN(B245&amp;"")</f>
      </c>
    </row>
    <row r="246">
      <c r="A246" t="inlineStr">
        <is>
          <t xml:space="preserve">E-0030</t>
        </is>
      </c>
      <c r="B246">
        <f>NE(TRUE,1)</f>
      </c>
      <c r="C246">
        <f>TYPE(B246)</f>
      </c>
      <c r="D246">
        <f>IFERROR(ERROR.TYPE(B246),"")</f>
      </c>
      <c r="E246">
        <f>LEN(B246&amp;"")</f>
      </c>
    </row>
    <row r="247">
      <c r="A247" s="2" t="inlineStr">
        <is>
          <t xml:space="preserve">E-0031</t>
        </is>
      </c>
      <c r="B247" s="2">
        <f>GT(2,1)</f>
      </c>
      <c r="C247" s="2">
        <f>TYPE(B247)</f>
      </c>
      <c r="D247" s="2">
        <f>IFERROR(ERROR.TYPE(B247),"")</f>
      </c>
      <c r="E247" s="2">
        <f>LEN(B247&amp;"")</f>
      </c>
    </row>
    <row r="248">
      <c r="A248" t="inlineStr">
        <is>
          <t xml:space="preserve">E-0032</t>
        </is>
      </c>
      <c r="B248">
        <f>GT("b","a")</f>
      </c>
      <c r="C248">
        <f>TYPE(B248)</f>
      </c>
      <c r="D248">
        <f>IFERROR(ERROR.TYPE(B248),"")</f>
      </c>
      <c r="E248">
        <f>LEN(B248&amp;"")</f>
      </c>
    </row>
    <row r="249">
      <c r="A249" s="2" t="inlineStr">
        <is>
          <t xml:space="preserve">E-0033</t>
        </is>
      </c>
      <c r="B249" s="2">
        <f>GT("a",1)</f>
      </c>
      <c r="C249" s="2">
        <f>TYPE(B249)</f>
      </c>
      <c r="D249" s="2">
        <f>IFERROR(ERROR.TYPE(B249),"")</f>
      </c>
      <c r="E249" s="2">
        <f>LEN(B249&amp;"")</f>
      </c>
    </row>
    <row r="250">
      <c r="A250" t="inlineStr">
        <is>
          <t xml:space="preserve">E-0034</t>
        </is>
      </c>
      <c r="B250">
        <f>GTE(1,1)</f>
      </c>
      <c r="C250">
        <f>TYPE(B250)</f>
      </c>
      <c r="D250">
        <f>IFERROR(ERROR.TYPE(B250),"")</f>
      </c>
      <c r="E250">
        <f>LEN(B250&amp;"")</f>
      </c>
    </row>
    <row r="251">
      <c r="A251" s="2" t="inlineStr">
        <is>
          <t xml:space="preserve">E-0035</t>
        </is>
      </c>
      <c r="B251" s="2">
        <f>GTE(TRUE,"z")</f>
      </c>
      <c r="C251" s="2">
        <f>TYPE(B251)</f>
      </c>
      <c r="D251" s="2">
        <f>IFERROR(ERROR.TYPE(B251),"")</f>
      </c>
      <c r="E251" s="2">
        <f>LEN(B251&amp;"")</f>
      </c>
    </row>
    <row r="252">
      <c r="A252" t="inlineStr">
        <is>
          <t xml:space="preserve">E-0036</t>
        </is>
      </c>
      <c r="B252">
        <f>GTE(Inputs!O1,0)</f>
      </c>
      <c r="C252">
        <f>TYPE(B252)</f>
      </c>
      <c r="D252">
        <f>IFERROR(ERROR.TYPE(B252),"")</f>
      </c>
      <c r="E252">
        <f>LEN(B252&amp;"")</f>
      </c>
    </row>
    <row r="253">
      <c r="A253" s="2" t="inlineStr">
        <is>
          <t xml:space="preserve">E-0037</t>
        </is>
      </c>
      <c r="B253" s="2">
        <f>LT(1,2)</f>
      </c>
      <c r="C253" s="2">
        <f>TYPE(B253)</f>
      </c>
      <c r="D253" s="2">
        <f>IFERROR(ERROR.TYPE(B253),"")</f>
      </c>
      <c r="E253" s="2">
        <f>LEN(B253&amp;"")</f>
      </c>
    </row>
    <row r="254">
      <c r="A254" t="inlineStr">
        <is>
          <t xml:space="preserve">E-0038</t>
        </is>
      </c>
      <c r="B254">
        <f>LT("a","B")</f>
      </c>
      <c r="C254">
        <f>TYPE(B254)</f>
      </c>
      <c r="D254">
        <f>IFERROR(ERROR.TYPE(B254),"")</f>
      </c>
      <c r="E254">
        <f>LEN(B254&amp;"")</f>
      </c>
    </row>
    <row r="255">
      <c r="A255" s="2" t="inlineStr">
        <is>
          <t xml:space="preserve">E-0039</t>
        </is>
      </c>
      <c r="B255" s="2">
        <f>LT(Inputs!O1,"")</f>
      </c>
      <c r="C255" s="2">
        <f>TYPE(B255)</f>
      </c>
      <c r="D255" s="2">
        <f>IFERROR(ERROR.TYPE(B255),"")</f>
      </c>
      <c r="E255" s="2">
        <f>LEN(B255&amp;"")</f>
      </c>
    </row>
    <row r="256">
      <c r="A256" t="inlineStr">
        <is>
          <t xml:space="preserve">E-0040</t>
        </is>
      </c>
      <c r="B256">
        <f>LTE(2,2)</f>
      </c>
      <c r="C256">
        <f>TYPE(B256)</f>
      </c>
      <c r="D256">
        <f>IFERROR(ERROR.TYPE(B256),"")</f>
      </c>
      <c r="E256">
        <f>LEN(B256&amp;"")</f>
      </c>
    </row>
    <row r="257">
      <c r="A257" s="2" t="inlineStr">
        <is>
          <t xml:space="preserve">E-0041</t>
        </is>
      </c>
      <c r="B257" s="2">
        <f>LTE(-1,Inputs!O1)</f>
      </c>
      <c r="C257" s="2">
        <f>TYPE(B257)</f>
      </c>
      <c r="D257" s="2">
        <f>IFERROR(ERROR.TYPE(B257),"")</f>
      </c>
      <c r="E257" s="2">
        <f>LEN(B257&amp;"")</f>
      </c>
    </row>
    <row r="258">
      <c r="A258" t="inlineStr">
        <is>
          <t xml:space="preserve">E-0042</t>
        </is>
      </c>
      <c r="B258">
        <f>LTE("10","9")</f>
      </c>
      <c r="C258">
        <f>TYPE(B258)</f>
      </c>
      <c r="D258">
        <f>IFERROR(ERROR.TYPE(B258),"")</f>
      </c>
      <c r="E258">
        <f>LEN(B258&amp;"")</f>
      </c>
    </row>
    <row r="259">
      <c r="A259" s="2" t="inlineStr">
        <is>
          <t xml:space="preserve">E-0043</t>
        </is>
      </c>
      <c r="B259" s="2">
        <f>ISBETWEEN(5,1,10)</f>
      </c>
      <c r="C259" s="2">
        <f>TYPE(B259)</f>
      </c>
      <c r="D259" s="2">
        <f>IFERROR(ERROR.TYPE(B259),"")</f>
      </c>
      <c r="E259" s="2">
        <f>LEN(B259&amp;"")</f>
      </c>
    </row>
    <row r="260">
      <c r="A260" t="inlineStr">
        <is>
          <t xml:space="preserve">E-0044</t>
        </is>
      </c>
      <c r="B260">
        <f>ISBETWEEN(1,1,10,FALSE)</f>
      </c>
      <c r="C260">
        <f>TYPE(B260)</f>
      </c>
      <c r="D260">
        <f>IFERROR(ERROR.TYPE(B260),"")</f>
      </c>
      <c r="E260">
        <f>LEN(B260&amp;"")</f>
      </c>
    </row>
    <row r="261">
      <c r="A261" s="2" t="inlineStr">
        <is>
          <t xml:space="preserve">E-0045</t>
        </is>
      </c>
      <c r="B261" s="2">
        <f>ISBETWEEN(10,1,10,TRUE,FALSE)</f>
      </c>
      <c r="C261" s="2">
        <f>TYPE(B261)</f>
      </c>
      <c r="D261" s="2">
        <f>IFERROR(ERROR.TYPE(B261),"")</f>
      </c>
      <c r="E261" s="2">
        <f>LEN(B261&amp;"")</f>
      </c>
    </row>
    <row r="262">
      <c r="A262" t="inlineStr">
        <is>
          <t xml:space="preserve">E-0046</t>
        </is>
      </c>
      <c r="B262">
        <f>CONCAT("a","b")</f>
      </c>
      <c r="C262">
        <f>TYPE(B262)</f>
      </c>
      <c r="D262">
        <f>IFERROR(ERROR.TYPE(B262),"")</f>
      </c>
      <c r="E262">
        <f>LEN(B262&amp;"")</f>
      </c>
    </row>
    <row r="263">
      <c r="A263" s="2" t="inlineStr">
        <is>
          <t xml:space="preserve">E-0047</t>
        </is>
      </c>
      <c r="B263" s="2">
        <f>CONCAT(1,2)</f>
      </c>
      <c r="C263" s="2">
        <f>TYPE(B263)</f>
      </c>
      <c r="D263" s="2">
        <f>IFERROR(ERROR.TYPE(B263),"")</f>
      </c>
      <c r="E263" s="2">
        <f>LEN(B263&amp;"")</f>
      </c>
    </row>
    <row r="264">
      <c r="A264" t="inlineStr">
        <is>
          <t xml:space="preserve">E-0048</t>
        </is>
      </c>
      <c r="B264">
        <f>CONCAT(TRUE,"x")</f>
      </c>
      <c r="C264">
        <f>TYPE(B264)</f>
      </c>
      <c r="D264">
        <f>IFERROR(ERROR.TYPE(B264),"")</f>
      </c>
      <c r="E264">
        <f>LEN(B264&amp;"")</f>
      </c>
    </row>
    <row r="265">
      <c r="A265" s="2" t="inlineStr">
        <is>
          <t xml:space="preserve">E-0049</t>
        </is>
      </c>
      <c r="B265" s="2">
        <f>SUM(1,2,3)</f>
      </c>
      <c r="C265" s="2">
        <f>TYPE(B265)</f>
      </c>
      <c r="D265" s="2">
        <f>IFERROR(ERROR.TYPE(B265),"")</f>
      </c>
      <c r="E265" s="2">
        <f>LEN(B265&amp;"")</f>
      </c>
    </row>
    <row r="266">
      <c r="A266" t="inlineStr">
        <is>
          <t xml:space="preserve">E-0050</t>
        </is>
      </c>
      <c r="B266">
        <f>SUM(Inputs!B1:B5,10)</f>
      </c>
      <c r="C266">
        <f>TYPE(B266)</f>
      </c>
      <c r="D266">
        <f>IFERROR(ERROR.TYPE(B266),"")</f>
      </c>
      <c r="E266">
        <f>LEN(B266&amp;"")</f>
      </c>
    </row>
    <row r="267">
      <c r="A267" s="2" t="inlineStr">
        <is>
          <t xml:space="preserve">E-0051</t>
        </is>
      </c>
      <c r="B267" s="2">
        <f>SUM()</f>
      </c>
      <c r="C267" s="2">
        <f>TYPE(B267)</f>
      </c>
      <c r="D267" s="2">
        <f>IFERROR(ERROR.TYPE(B267),"")</f>
      </c>
      <c r="E267" s="2">
        <f>LEN(B267&amp;"")</f>
      </c>
    </row>
    <row r="268">
      <c r="A268" t="inlineStr">
        <is>
          <t xml:space="preserve">E-0052</t>
        </is>
      </c>
      <c r="B268">
        <f>SUM(Inputs!C2:D5)</f>
      </c>
      <c r="C268">
        <f>TYPE(B268)</f>
      </c>
      <c r="D268">
        <f>IFERROR(ERROR.TYPE(B268),"")</f>
      </c>
      <c r="E268">
        <f>LEN(B268&amp;"")</f>
      </c>
    </row>
    <row r="269">
      <c r="A269" s="2" t="inlineStr">
        <is>
          <t xml:space="preserve">E-0053</t>
        </is>
      </c>
      <c r="B269" s="2">
        <f>SUMIF(Inputs!H1:H4,"&gt;=200")</f>
      </c>
      <c r="C269" s="2">
        <f>TYPE(B269)</f>
      </c>
      <c r="D269" s="2">
        <f>IFERROR(ERROR.TYPE(B269),"")</f>
      </c>
      <c r="E269" s="2">
        <f>LEN(B269&amp;"")</f>
      </c>
    </row>
    <row r="270">
      <c r="A270" t="inlineStr">
        <is>
          <t xml:space="preserve">E-0054</t>
        </is>
      </c>
      <c r="B270">
        <f>SUMIF(Inputs!G1:G4,"apple",Inputs!H1:H4)</f>
      </c>
      <c r="C270">
        <f>TYPE(B270)</f>
      </c>
      <c r="D270">
        <f>IFERROR(ERROR.TYPE(B270),"")</f>
      </c>
      <c r="E270">
        <f>LEN(B270&amp;"")</f>
      </c>
    </row>
    <row r="271">
      <c r="A271" s="2" t="inlineStr">
        <is>
          <t xml:space="preserve">E-0055</t>
        </is>
      </c>
      <c r="B271" s="2">
        <f>SUMIF(Inputs!G1:G4,"a*",Inputs!H1:H4)</f>
      </c>
      <c r="C271" s="2">
        <f>TYPE(B271)</f>
      </c>
      <c r="D271" s="2">
        <f>IFERROR(ERROR.TYPE(B271),"")</f>
      </c>
      <c r="E271" s="2">
        <f>LEN(B271&amp;"")</f>
      </c>
    </row>
    <row r="272">
      <c r="A272" t="inlineStr">
        <is>
          <t xml:space="preserve">E-0056</t>
        </is>
      </c>
      <c r="B272">
        <f>SUMIF(Inputs!G1:G4,"APPLE",Inputs!H1:H4)</f>
      </c>
      <c r="C272">
        <f>TYPE(B272)</f>
      </c>
      <c r="D272">
        <f>IFERROR(ERROR.TYPE(B272),"")</f>
      </c>
      <c r="E272">
        <f>LEN(B272&amp;"")</f>
      </c>
    </row>
    <row r="273">
      <c r="A273" s="2" t="inlineStr">
        <is>
          <t xml:space="preserve">E-0057</t>
        </is>
      </c>
      <c r="B273" s="2">
        <f>SUMIF(Inputs!H1:H4,"&lt;&gt;200")</f>
      </c>
      <c r="C273" s="2">
        <f>TYPE(B273)</f>
      </c>
      <c r="D273" s="2">
        <f>IFERROR(ERROR.TYPE(B273),"")</f>
      </c>
      <c r="E273" s="2">
        <f>LEN(B273&amp;"")</f>
      </c>
    </row>
    <row r="274">
      <c r="A274" t="inlineStr">
        <is>
          <t xml:space="preserve">E-0058</t>
        </is>
      </c>
      <c r="B274">
        <f>SUMIFS(Inputs!H1:H4,Inputs!G1:G4,"apple",Inputs!H1:H4,"&gt;100")</f>
      </c>
      <c r="C274">
        <f>TYPE(B274)</f>
      </c>
      <c r="D274">
        <f>IFERROR(ERROR.TYPE(B274),"")</f>
      </c>
      <c r="E274">
        <f>LEN(B274&amp;"")</f>
      </c>
    </row>
    <row r="275">
      <c r="A275" s="2" t="inlineStr">
        <is>
          <t xml:space="preserve">E-0059</t>
        </is>
      </c>
      <c r="B275" s="2">
        <f>SUMIFS(Inputs!H1:H4,Inputs!G1:G4,"&lt;&gt;apple")</f>
      </c>
      <c r="C275" s="2">
        <f>TYPE(B275)</f>
      </c>
      <c r="D275" s="2">
        <f>IFERROR(ERROR.TYPE(B275),"")</f>
      </c>
      <c r="E275" s="2">
        <f>LEN(B275&amp;"")</f>
      </c>
    </row>
    <row r="276">
      <c r="A276" t="inlineStr">
        <is>
          <t xml:space="preserve">E-0060</t>
        </is>
      </c>
      <c r="B276">
        <f>SUMIFS(Inputs!H1:H4,Inputs!G1:G4,"?anana")</f>
      </c>
      <c r="C276">
        <f>TYPE(B276)</f>
      </c>
      <c r="D276">
        <f>IFERROR(ERROR.TYPE(B276),"")</f>
      </c>
      <c r="E276">
        <f>LEN(B276&amp;"")</f>
      </c>
    </row>
    <row r="277">
      <c r="A277" s="2" t="inlineStr">
        <is>
          <t xml:space="preserve">E-0061</t>
        </is>
      </c>
      <c r="B277" s="2">
        <f>SUMPRODUCT(Inputs!B1:B5,Inputs!B1:B5)</f>
      </c>
      <c r="C277" s="2">
        <f>TYPE(B277)</f>
      </c>
      <c r="D277" s="2">
        <f>IFERROR(ERROR.TYPE(B277),"")</f>
      </c>
      <c r="E277" s="2">
        <f>LEN(B277&amp;"")</f>
      </c>
    </row>
    <row r="278">
      <c r="A278" t="inlineStr">
        <is>
          <t xml:space="preserve">E-0062</t>
        </is>
      </c>
      <c r="B278">
        <f>SUMPRODUCT({1,2,3},{4,5,6})</f>
      </c>
      <c r="C278">
        <f>TYPE(B278)</f>
      </c>
      <c r="D278">
        <f>IFERROR(ERROR.TYPE(B278),"")</f>
      </c>
      <c r="E278">
        <f>LEN(B278&amp;"")</f>
      </c>
    </row>
    <row r="279">
      <c r="A279" s="2" t="inlineStr">
        <is>
          <t xml:space="preserve">E-0063</t>
        </is>
      </c>
      <c r="B279" s="2">
        <f>SUMPRODUCT({1,2},{1,2,3})</f>
      </c>
      <c r="C279" s="2">
        <f>TYPE(B279)</f>
      </c>
      <c r="D279" s="2">
        <f>IFERROR(ERROR.TYPE(B279),"")</f>
      </c>
      <c r="E279" s="2">
        <f>LEN(B279&amp;"")</f>
      </c>
    </row>
    <row r="280">
      <c r="A280" t="inlineStr">
        <is>
          <t xml:space="preserve">E-0064</t>
        </is>
      </c>
      <c r="B280">
        <f>SUMPRODUCT((Inputs!H1:H4&gt;150)*Inputs!H1:H4)</f>
      </c>
      <c r="C280">
        <f>TYPE(B280)</f>
      </c>
      <c r="D280">
        <f>IFERROR(ERROR.TYPE(B280),"")</f>
      </c>
      <c r="E280">
        <f>LEN(B280&amp;"")</f>
      </c>
    </row>
    <row r="281">
      <c r="A281" s="2" t="inlineStr">
        <is>
          <t xml:space="preserve">E-0065</t>
        </is>
      </c>
      <c r="B281" s="2">
        <f>PRODUCT(2,3,4)</f>
      </c>
      <c r="C281" s="2">
        <f>TYPE(B281)</f>
      </c>
      <c r="D281" s="2">
        <f>IFERROR(ERROR.TYPE(B281),"")</f>
      </c>
      <c r="E281" s="2">
        <f>LEN(B281&amp;"")</f>
      </c>
    </row>
    <row r="282">
      <c r="A282" t="inlineStr">
        <is>
          <t xml:space="preserve">E-0066</t>
        </is>
      </c>
      <c r="B282">
        <f>PRODUCT(Inputs!B1:B5)</f>
      </c>
      <c r="C282">
        <f>TYPE(B282)</f>
      </c>
      <c r="D282">
        <f>IFERROR(ERROR.TYPE(B282),"")</f>
      </c>
      <c r="E282">
        <f>LEN(B282&amp;"")</f>
      </c>
    </row>
    <row r="283">
      <c r="A283" s="2" t="inlineStr">
        <is>
          <t xml:space="preserve">E-0067</t>
        </is>
      </c>
      <c r="B283" s="2">
        <f>PRODUCT(Inputs!A1:A6)</f>
      </c>
      <c r="C283" s="2">
        <f>TYPE(B283)</f>
      </c>
      <c r="D283" s="2">
        <f>IFERROR(ERROR.TYPE(B283),"")</f>
      </c>
      <c r="E283" s="2">
        <f>LEN(B283&amp;"")</f>
      </c>
    </row>
    <row r="284">
      <c r="A284" t="inlineStr">
        <is>
          <t xml:space="preserve">E-0068</t>
        </is>
      </c>
      <c r="B284">
        <f>ROUND(2.5,0)</f>
      </c>
      <c r="C284">
        <f>TYPE(B284)</f>
      </c>
      <c r="D284">
        <f>IFERROR(ERROR.TYPE(B284),"")</f>
      </c>
      <c r="E284">
        <f>LEN(B284&amp;"")</f>
      </c>
    </row>
    <row r="285">
      <c r="A285" s="2" t="inlineStr">
        <is>
          <t xml:space="preserve">E-0069</t>
        </is>
      </c>
      <c r="B285" s="2">
        <f>ROUND(-2.5,0)</f>
      </c>
      <c r="C285" s="2">
        <f>TYPE(B285)</f>
      </c>
      <c r="D285" s="2">
        <f>IFERROR(ERROR.TYPE(B285),"")</f>
      </c>
      <c r="E285" s="2">
        <f>LEN(B285&amp;"")</f>
      </c>
    </row>
    <row r="286">
      <c r="A286" t="inlineStr">
        <is>
          <t xml:space="preserve">E-0070</t>
        </is>
      </c>
      <c r="B286">
        <f>ROUND(1234.5678,-2)</f>
      </c>
      <c r="C286">
        <f>TYPE(B286)</f>
      </c>
      <c r="D286">
        <f>IFERROR(ERROR.TYPE(B286),"")</f>
      </c>
      <c r="E286">
        <f>LEN(B286&amp;"")</f>
      </c>
    </row>
    <row r="287">
      <c r="A287" s="2" t="inlineStr">
        <is>
          <t xml:space="preserve">E-0071</t>
        </is>
      </c>
      <c r="B287" s="2">
        <f>ROUND(3.14159)</f>
      </c>
      <c r="C287" s="2">
        <f>TYPE(B287)</f>
      </c>
      <c r="D287" s="2">
        <f>IFERROR(ERROR.TYPE(B287),"")</f>
      </c>
      <c r="E287" s="2">
        <f>LEN(B287&amp;"")</f>
      </c>
    </row>
    <row r="288">
      <c r="A288" t="inlineStr">
        <is>
          <t xml:space="preserve">E-0072</t>
        </is>
      </c>
      <c r="B288">
        <f>ROUNDUP(3.2,0)</f>
      </c>
      <c r="C288">
        <f>TYPE(B288)</f>
      </c>
      <c r="D288">
        <f>IFERROR(ERROR.TYPE(B288),"")</f>
      </c>
      <c r="E288">
        <f>LEN(B288&amp;"")</f>
      </c>
    </row>
    <row r="289">
      <c r="A289" s="2" t="inlineStr">
        <is>
          <t xml:space="preserve">E-0073</t>
        </is>
      </c>
      <c r="B289" s="2">
        <f>ROUNDUP(-3.2,0)</f>
      </c>
      <c r="C289" s="2">
        <f>TYPE(B289)</f>
      </c>
      <c r="D289" s="2">
        <f>IFERROR(ERROR.TYPE(B289),"")</f>
      </c>
      <c r="E289" s="2">
        <f>LEN(B289&amp;"")</f>
      </c>
    </row>
    <row r="290">
      <c r="A290" t="inlineStr">
        <is>
          <t xml:space="preserve">E-0074</t>
        </is>
      </c>
      <c r="B290">
        <f>ROUNDUP(31415.92654,-2)</f>
      </c>
      <c r="C290">
        <f>TYPE(B290)</f>
      </c>
      <c r="D290">
        <f>IFERROR(ERROR.TYPE(B290),"")</f>
      </c>
      <c r="E290">
        <f>LEN(B290&amp;"")</f>
      </c>
    </row>
    <row r="291">
      <c r="A291" s="2" t="inlineStr">
        <is>
          <t xml:space="preserve">E-0075</t>
        </is>
      </c>
      <c r="B291" s="2">
        <f>ROUNDDOWN(3.9,0)</f>
      </c>
      <c r="C291" s="2">
        <f>TYPE(B291)</f>
      </c>
      <c r="D291" s="2">
        <f>IFERROR(ERROR.TYPE(B291),"")</f>
      </c>
      <c r="E291" s="2">
        <f>LEN(B291&amp;"")</f>
      </c>
    </row>
    <row r="292">
      <c r="A292" t="inlineStr">
        <is>
          <t xml:space="preserve">E-0076</t>
        </is>
      </c>
      <c r="B292">
        <f>ROUNDDOWN(-3.9,0)</f>
      </c>
      <c r="C292">
        <f>TYPE(B292)</f>
      </c>
      <c r="D292">
        <f>IFERROR(ERROR.TYPE(B292),"")</f>
      </c>
      <c r="E292">
        <f>LEN(B292&amp;"")</f>
      </c>
    </row>
    <row r="293">
      <c r="A293" s="2" t="inlineStr">
        <is>
          <t xml:space="preserve">E-0077</t>
        </is>
      </c>
      <c r="B293" s="2">
        <f>ROUNDDOWN(1.239,2)</f>
      </c>
      <c r="C293" s="2">
        <f>TYPE(B293)</f>
      </c>
      <c r="D293" s="2">
        <f>IFERROR(ERROR.TYPE(B293),"")</f>
      </c>
      <c r="E293" s="2">
        <f>LEN(B293&amp;"")</f>
      </c>
    </row>
    <row r="294">
      <c r="A294" t="inlineStr">
        <is>
          <t xml:space="preserve">E-0078</t>
        </is>
      </c>
      <c r="B294">
        <f>MROUND(10,3)</f>
      </c>
      <c r="C294">
        <f>TYPE(B294)</f>
      </c>
      <c r="D294">
        <f>IFERROR(ERROR.TYPE(B294),"")</f>
      </c>
      <c r="E294">
        <f>LEN(B294&amp;"")</f>
      </c>
    </row>
    <row r="295">
      <c r="A295" s="2" t="inlineStr">
        <is>
          <t xml:space="preserve">E-0079</t>
        </is>
      </c>
      <c r="B295" s="2">
        <f>MROUND(-10,-3)</f>
      </c>
      <c r="C295" s="2">
        <f>TYPE(B295)</f>
      </c>
      <c r="D295" s="2">
        <f>IFERROR(ERROR.TYPE(B295),"")</f>
      </c>
      <c r="E295" s="2">
        <f>LEN(B295&amp;"")</f>
      </c>
    </row>
    <row r="296">
      <c r="A296" t="inlineStr">
        <is>
          <t xml:space="preserve">E-0080</t>
        </is>
      </c>
      <c r="B296">
        <f>MROUND(5,-2)</f>
      </c>
      <c r="C296">
        <f>TYPE(B296)</f>
      </c>
      <c r="D296">
        <f>IFERROR(ERROR.TYPE(B296),"")</f>
      </c>
      <c r="E296">
        <f>LEN(B296&amp;"")</f>
      </c>
    </row>
    <row r="297">
      <c r="A297" s="2" t="inlineStr">
        <is>
          <t xml:space="preserve">E-0081</t>
        </is>
      </c>
      <c r="B297" s="2">
        <f>MROUND(1.3,0.2)</f>
      </c>
      <c r="C297" s="2">
        <f>TYPE(B297)</f>
      </c>
      <c r="D297" s="2">
        <f>IFERROR(ERROR.TYPE(B297),"")</f>
      </c>
      <c r="E297" s="2">
        <f>LEN(B297&amp;"")</f>
      </c>
    </row>
    <row r="298">
      <c r="A298" t="inlineStr">
        <is>
          <t xml:space="preserve">E-0082</t>
        </is>
      </c>
      <c r="B298">
        <f>CEILING(2.5,1)</f>
      </c>
      <c r="C298">
        <f>TYPE(B298)</f>
      </c>
      <c r="D298">
        <f>IFERROR(ERROR.TYPE(B298),"")</f>
      </c>
      <c r="E298">
        <f>LEN(B298&amp;"")</f>
      </c>
    </row>
    <row r="299">
      <c r="A299" s="2" t="inlineStr">
        <is>
          <t xml:space="preserve">E-0083</t>
        </is>
      </c>
      <c r="B299" s="2">
        <f>CEILING(-2.5,-2)</f>
      </c>
      <c r="C299" s="2">
        <f>TYPE(B299)</f>
      </c>
      <c r="D299" s="2">
        <f>IFERROR(ERROR.TYPE(B299),"")</f>
      </c>
      <c r="E299" s="2">
        <f>LEN(B299&amp;"")</f>
      </c>
    </row>
    <row r="300">
      <c r="A300" t="inlineStr">
        <is>
          <t xml:space="preserve">E-0084</t>
        </is>
      </c>
      <c r="B300">
        <f>CEILING(-2.5,2)</f>
      </c>
      <c r="C300">
        <f>TYPE(B300)</f>
      </c>
      <c r="D300">
        <f>IFERROR(ERROR.TYPE(B300),"")</f>
      </c>
      <c r="E300">
        <f>LEN(B300&amp;"")</f>
      </c>
    </row>
    <row r="301">
      <c r="A301" s="2" t="inlineStr">
        <is>
          <t xml:space="preserve">E-0085</t>
        </is>
      </c>
      <c r="B301" s="2">
        <f>CEILING(1.234,0.05)</f>
      </c>
      <c r="C301" s="2">
        <f>TYPE(B301)</f>
      </c>
      <c r="D301" s="2">
        <f>IFERROR(ERROR.TYPE(B301),"")</f>
      </c>
      <c r="E301" s="2">
        <f>LEN(B301&amp;"")</f>
      </c>
    </row>
    <row r="302">
      <c r="A302" t="inlineStr">
        <is>
          <t xml:space="preserve">E-0086</t>
        </is>
      </c>
      <c r="B302">
        <f>CEILING.MATH(-5.5)</f>
      </c>
      <c r="C302">
        <f>TYPE(B302)</f>
      </c>
      <c r="D302">
        <f>IFERROR(ERROR.TYPE(B302),"")</f>
      </c>
      <c r="E302">
        <f>LEN(B302&amp;"")</f>
      </c>
    </row>
    <row r="303">
      <c r="A303" s="2" t="inlineStr">
        <is>
          <t xml:space="preserve">E-0087</t>
        </is>
      </c>
      <c r="B303" s="2">
        <f>CEILING.MATH(-5.5,2,1)</f>
      </c>
      <c r="C303" s="2">
        <f>TYPE(B303)</f>
      </c>
      <c r="D303" s="2">
        <f>IFERROR(ERROR.TYPE(B303),"")</f>
      </c>
      <c r="E303" s="2">
        <f>LEN(B303&amp;"")</f>
      </c>
    </row>
    <row r="304">
      <c r="A304" t="inlineStr">
        <is>
          <t xml:space="preserve">E-0088</t>
        </is>
      </c>
      <c r="B304">
        <f>CEILING.MATH(24.3,5)</f>
      </c>
      <c r="C304">
        <f>TYPE(B304)</f>
      </c>
      <c r="D304">
        <f>IFERROR(ERROR.TYPE(B304),"")</f>
      </c>
      <c r="E304">
        <f>LEN(B304&amp;"")</f>
      </c>
    </row>
    <row r="305">
      <c r="A305" s="2" t="inlineStr">
        <is>
          <t xml:space="preserve">E-0089</t>
        </is>
      </c>
      <c r="B305" s="2">
        <f>FLOOR(3.7,2)</f>
      </c>
      <c r="C305" s="2">
        <f>TYPE(B305)</f>
      </c>
      <c r="D305" s="2">
        <f>IFERROR(ERROR.TYPE(B305),"")</f>
      </c>
      <c r="E305" s="2">
        <f>LEN(B305&amp;"")</f>
      </c>
    </row>
    <row r="306">
      <c r="A306" t="inlineStr">
        <is>
          <t xml:space="preserve">E-0090</t>
        </is>
      </c>
      <c r="B306">
        <f>FLOOR(-2.5,-2)</f>
      </c>
      <c r="C306">
        <f>TYPE(B306)</f>
      </c>
      <c r="D306">
        <f>IFERROR(ERROR.TYPE(B306),"")</f>
      </c>
      <c r="E306">
        <f>LEN(B306&amp;"")</f>
      </c>
    </row>
    <row r="307">
      <c r="A307" s="2" t="inlineStr">
        <is>
          <t xml:space="preserve">E-0091</t>
        </is>
      </c>
      <c r="B307" s="2">
        <f>FLOOR(2.5,-2)</f>
      </c>
      <c r="C307" s="2">
        <f>TYPE(B307)</f>
      </c>
      <c r="D307" s="2">
        <f>IFERROR(ERROR.TYPE(B307),"")</f>
      </c>
      <c r="E307" s="2">
        <f>LEN(B307&amp;"")</f>
      </c>
    </row>
    <row r="308">
      <c r="A308" t="inlineStr">
        <is>
          <t xml:space="preserve">E-0092</t>
        </is>
      </c>
      <c r="B308">
        <f>FLOOR(1.58,0.1)</f>
      </c>
      <c r="C308">
        <f>TYPE(B308)</f>
      </c>
      <c r="D308">
        <f>IFERROR(ERROR.TYPE(B308),"")</f>
      </c>
      <c r="E308">
        <f>LEN(B308&amp;"")</f>
      </c>
    </row>
    <row r="309">
      <c r="A309" s="2" t="inlineStr">
        <is>
          <t xml:space="preserve">E-0093</t>
        </is>
      </c>
      <c r="B309" s="2">
        <f>FLOOR.MATH(-5.5)</f>
      </c>
      <c r="C309" s="2">
        <f>TYPE(B309)</f>
      </c>
      <c r="D309" s="2">
        <f>IFERROR(ERROR.TYPE(B309),"")</f>
      </c>
      <c r="E309" s="2">
        <f>LEN(B309&amp;"")</f>
      </c>
    </row>
    <row r="310">
      <c r="A310" t="inlineStr">
        <is>
          <t xml:space="preserve">E-0094</t>
        </is>
      </c>
      <c r="B310">
        <f>FLOOR.MATH(-5.5,2,1)</f>
      </c>
      <c r="C310">
        <f>TYPE(B310)</f>
      </c>
      <c r="D310">
        <f>IFERROR(ERROR.TYPE(B310),"")</f>
      </c>
      <c r="E310">
        <f>LEN(B310&amp;"")</f>
      </c>
    </row>
    <row r="311">
      <c r="A311" s="2" t="inlineStr">
        <is>
          <t xml:space="preserve">E-0095</t>
        </is>
      </c>
      <c r="B311" s="2">
        <f>FLOOR.MATH(24.3,5)</f>
      </c>
      <c r="C311" s="2">
        <f>TYPE(B311)</f>
      </c>
      <c r="D311" s="2">
        <f>IFERROR(ERROR.TYPE(B311),"")</f>
      </c>
      <c r="E311" s="2">
        <f>LEN(B311&amp;"")</f>
      </c>
    </row>
    <row r="312">
      <c r="A312" t="inlineStr">
        <is>
          <t xml:space="preserve">E-0096</t>
        </is>
      </c>
      <c r="B312">
        <f>INT(8.9)</f>
      </c>
      <c r="C312">
        <f>TYPE(B312)</f>
      </c>
      <c r="D312">
        <f>IFERROR(ERROR.TYPE(B312),"")</f>
      </c>
      <c r="E312">
        <f>LEN(B312&amp;"")</f>
      </c>
    </row>
    <row r="313">
      <c r="A313" s="2" t="inlineStr">
        <is>
          <t xml:space="preserve">E-0097</t>
        </is>
      </c>
      <c r="B313" s="2">
        <f>INT(-8.9)</f>
      </c>
      <c r="C313" s="2">
        <f>TYPE(B313)</f>
      </c>
      <c r="D313" s="2">
        <f>IFERROR(ERROR.TYPE(B313),"")</f>
      </c>
      <c r="E313" s="2">
        <f>LEN(B313&amp;"")</f>
      </c>
    </row>
    <row r="314">
      <c r="A314" t="inlineStr">
        <is>
          <t xml:space="preserve">E-0098</t>
        </is>
      </c>
      <c r="B314">
        <f>INT("3.7")</f>
      </c>
      <c r="C314">
        <f>TYPE(B314)</f>
      </c>
      <c r="D314">
        <f>IFERROR(ERROR.TYPE(B314),"")</f>
      </c>
      <c r="E314">
        <f>LEN(B314&amp;"")</f>
      </c>
    </row>
    <row r="315">
      <c r="A315" s="2" t="inlineStr">
        <is>
          <t xml:space="preserve">E-0099</t>
        </is>
      </c>
      <c r="B315" s="2">
        <f>TRUNC(8.9)</f>
      </c>
      <c r="C315" s="2">
        <f>TYPE(B315)</f>
      </c>
      <c r="D315" s="2">
        <f>IFERROR(ERROR.TYPE(B315),"")</f>
      </c>
      <c r="E315" s="2">
        <f>LEN(B315&amp;"")</f>
      </c>
    </row>
    <row r="316">
      <c r="A316" t="inlineStr">
        <is>
          <t xml:space="preserve">E-0100</t>
        </is>
      </c>
      <c r="B316">
        <f>TRUNC(-8.9)</f>
      </c>
      <c r="C316">
        <f>TYPE(B316)</f>
      </c>
      <c r="D316">
        <f>IFERROR(ERROR.TYPE(B316),"")</f>
      </c>
      <c r="E316">
        <f>LEN(B316&amp;"")</f>
      </c>
    </row>
    <row r="317">
      <c r="A317" s="2" t="inlineStr">
        <is>
          <t xml:space="preserve">E-0101</t>
        </is>
      </c>
      <c r="B317" s="2">
        <f>TRUNC(3.14159,2)</f>
      </c>
      <c r="C317" s="2">
        <f>TYPE(B317)</f>
      </c>
      <c r="D317" s="2">
        <f>IFERROR(ERROR.TYPE(B317),"")</f>
      </c>
      <c r="E317" s="2">
        <f>LEN(B317&amp;"")</f>
      </c>
    </row>
    <row r="318">
      <c r="A318" t="inlineStr">
        <is>
          <t xml:space="preserve">E-0102</t>
        </is>
      </c>
      <c r="B318">
        <f>ABS(-4)</f>
      </c>
      <c r="C318">
        <f>TYPE(B318)</f>
      </c>
      <c r="D318">
        <f>IFERROR(ERROR.TYPE(B318),"")</f>
      </c>
      <c r="E318">
        <f>LEN(B318&amp;"")</f>
      </c>
    </row>
    <row r="319">
      <c r="A319" s="2" t="inlineStr">
        <is>
          <t xml:space="preserve">E-0103</t>
        </is>
      </c>
      <c r="B319" s="2">
        <f>ABS(Inputs!O1)</f>
      </c>
      <c r="C319" s="2">
        <f>TYPE(B319)</f>
      </c>
      <c r="D319" s="2">
        <f>IFERROR(ERROR.TYPE(B319),"")</f>
      </c>
      <c r="E319" s="2">
        <f>LEN(B319&amp;"")</f>
      </c>
    </row>
    <row r="320">
      <c r="A320" t="inlineStr">
        <is>
          <t xml:space="preserve">E-0104</t>
        </is>
      </c>
      <c r="B320">
        <f>ABS("x")</f>
      </c>
      <c r="C320">
        <f>TYPE(B320)</f>
      </c>
      <c r="D320">
        <f>IFERROR(ERROR.TYPE(B320),"")</f>
      </c>
      <c r="E320">
        <f>LEN(B320&amp;"")</f>
      </c>
    </row>
    <row r="321">
      <c r="A321" s="2" t="inlineStr">
        <is>
          <t xml:space="preserve">E-0105</t>
        </is>
      </c>
      <c r="B321" s="2">
        <f>SIGN(-0.0001)</f>
      </c>
      <c r="C321" s="2">
        <f>TYPE(B321)</f>
      </c>
      <c r="D321" s="2">
        <f>IFERROR(ERROR.TYPE(B321),"")</f>
      </c>
      <c r="E321" s="2">
        <f>LEN(B321&amp;"")</f>
      </c>
    </row>
    <row r="322">
      <c r="A322" t="inlineStr">
        <is>
          <t xml:space="preserve">E-0106</t>
        </is>
      </c>
      <c r="B322">
        <f>SIGN(0)</f>
      </c>
      <c r="C322">
        <f>TYPE(B322)</f>
      </c>
      <c r="D322">
        <f>IFERROR(ERROR.TYPE(B322),"")</f>
      </c>
      <c r="E322">
        <f>LEN(B322&amp;"")</f>
      </c>
    </row>
    <row r="323">
      <c r="A323" s="2" t="inlineStr">
        <is>
          <t xml:space="preserve">E-0107</t>
        </is>
      </c>
      <c r="B323" s="2">
        <f>SIGN(12)</f>
      </c>
      <c r="C323" s="2">
        <f>TYPE(B323)</f>
      </c>
      <c r="D323" s="2">
        <f>IFERROR(ERROR.TYPE(B323),"")</f>
      </c>
      <c r="E323" s="2">
        <f>LEN(B323&amp;"")</f>
      </c>
    </row>
    <row r="324">
      <c r="A324" t="inlineStr">
        <is>
          <t xml:space="preserve">E-0108</t>
        </is>
      </c>
      <c r="B324">
        <f>MOD(5,3)</f>
      </c>
      <c r="C324">
        <f>TYPE(B324)</f>
      </c>
      <c r="D324">
        <f>IFERROR(ERROR.TYPE(B324),"")</f>
      </c>
      <c r="E324">
        <f>LEN(B324&amp;"")</f>
      </c>
    </row>
    <row r="325">
      <c r="A325" s="2" t="inlineStr">
        <is>
          <t xml:space="preserve">E-0109</t>
        </is>
      </c>
      <c r="B325" s="2">
        <f>MOD(-5,3)</f>
      </c>
      <c r="C325" s="2">
        <f>TYPE(B325)</f>
      </c>
      <c r="D325" s="2">
        <f>IFERROR(ERROR.TYPE(B325),"")</f>
      </c>
      <c r="E325" s="2">
        <f>LEN(B325&amp;"")</f>
      </c>
    </row>
    <row r="326">
      <c r="A326" t="inlineStr">
        <is>
          <t xml:space="preserve">E-0110</t>
        </is>
      </c>
      <c r="B326">
        <f>MOD(5,-3)</f>
      </c>
      <c r="C326">
        <f>TYPE(B326)</f>
      </c>
      <c r="D326">
        <f>IFERROR(ERROR.TYPE(B326),"")</f>
      </c>
      <c r="E326">
        <f>LEN(B326&amp;"")</f>
      </c>
    </row>
    <row r="327">
      <c r="A327" s="2" t="inlineStr">
        <is>
          <t xml:space="preserve">E-0111</t>
        </is>
      </c>
      <c r="B327" s="2">
        <f>MOD(5,0)</f>
      </c>
      <c r="C327" s="2">
        <f>TYPE(B327)</f>
      </c>
      <c r="D327" s="2">
        <f>IFERROR(ERROR.TYPE(B327),"")</f>
      </c>
      <c r="E327" s="2">
        <f>LEN(B327&amp;"")</f>
      </c>
    </row>
    <row r="328">
      <c r="A328" t="inlineStr">
        <is>
          <t xml:space="preserve">E-0112</t>
        </is>
      </c>
      <c r="B328">
        <f>MOD(5.5,2)</f>
      </c>
      <c r="C328">
        <f>TYPE(B328)</f>
      </c>
      <c r="D328">
        <f>IFERROR(ERROR.TYPE(B328),"")</f>
      </c>
      <c r="E328">
        <f>LEN(B328&amp;"")</f>
      </c>
    </row>
    <row r="329">
      <c r="A329" s="2" t="inlineStr">
        <is>
          <t xml:space="preserve">E-0113</t>
        </is>
      </c>
      <c r="B329" s="2">
        <f>QUOTIENT(5,2)</f>
      </c>
      <c r="C329" s="2">
        <f>TYPE(B329)</f>
      </c>
      <c r="D329" s="2">
        <f>IFERROR(ERROR.TYPE(B329),"")</f>
      </c>
      <c r="E329" s="2">
        <f>LEN(B329&amp;"")</f>
      </c>
    </row>
    <row r="330">
      <c r="A330" t="inlineStr">
        <is>
          <t xml:space="preserve">E-0114</t>
        </is>
      </c>
      <c r="B330">
        <f>QUOTIENT(-5,2)</f>
      </c>
      <c r="C330">
        <f>TYPE(B330)</f>
      </c>
      <c r="D330">
        <f>IFERROR(ERROR.TYPE(B330),"")</f>
      </c>
      <c r="E330">
        <f>LEN(B330&amp;"")</f>
      </c>
    </row>
    <row r="331">
      <c r="A331" s="2" t="inlineStr">
        <is>
          <t xml:space="preserve">E-0115</t>
        </is>
      </c>
      <c r="B331" s="2">
        <f>QUOTIENT(5,0)</f>
      </c>
      <c r="C331" s="2">
        <f>TYPE(B331)</f>
      </c>
      <c r="D331" s="2">
        <f>IFERROR(ERROR.TYPE(B331),"")</f>
      </c>
      <c r="E331" s="2">
        <f>LEN(B331&amp;"")</f>
      </c>
    </row>
    <row r="332">
      <c r="A332" t="inlineStr">
        <is>
          <t xml:space="preserve">E-0116</t>
        </is>
      </c>
      <c r="B332">
        <f>POWER(2,10)</f>
      </c>
      <c r="C332">
        <f>TYPE(B332)</f>
      </c>
      <c r="D332">
        <f>IFERROR(ERROR.TYPE(B332),"")</f>
      </c>
      <c r="E332">
        <f>LEN(B332&amp;"")</f>
      </c>
    </row>
    <row r="333">
      <c r="A333" s="2" t="inlineStr">
        <is>
          <t xml:space="preserve">E-0117</t>
        </is>
      </c>
      <c r="B333" s="2">
        <f>POWER(-8,1/3)</f>
      </c>
      <c r="C333" s="2">
        <f>TYPE(B333)</f>
      </c>
      <c r="D333" s="2">
        <f>IFERROR(ERROR.TYPE(B333),"")</f>
      </c>
      <c r="E333" s="2">
        <f>LEN(B333&amp;"")</f>
      </c>
    </row>
    <row r="334">
      <c r="A334" t="inlineStr">
        <is>
          <t xml:space="preserve">E-0118</t>
        </is>
      </c>
      <c r="B334">
        <f>POWER(0,0)</f>
      </c>
      <c r="C334">
        <f>TYPE(B334)</f>
      </c>
      <c r="D334">
        <f>IFERROR(ERROR.TYPE(B334),"")</f>
      </c>
      <c r="E334">
        <f>LEN(B334&amp;"")</f>
      </c>
    </row>
    <row r="335">
      <c r="A335" s="2" t="inlineStr">
        <is>
          <t xml:space="preserve">E-0119</t>
        </is>
      </c>
      <c r="B335" s="2">
        <f>POWER(0,-1)</f>
      </c>
      <c r="C335" s="2">
        <f>TYPE(B335)</f>
      </c>
      <c r="D335" s="2">
        <f>IFERROR(ERROR.TYPE(B335),"")</f>
      </c>
      <c r="E335" s="2">
        <f>LEN(B335&amp;"")</f>
      </c>
    </row>
    <row r="336">
      <c r="A336" t="inlineStr">
        <is>
          <t xml:space="preserve">E-0120</t>
        </is>
      </c>
      <c r="B336">
        <f>SQRT(16)</f>
      </c>
      <c r="C336">
        <f>TYPE(B336)</f>
      </c>
      <c r="D336">
        <f>IFERROR(ERROR.TYPE(B336),"")</f>
      </c>
      <c r="E336">
        <f>LEN(B336&amp;"")</f>
      </c>
    </row>
    <row r="337">
      <c r="A337" s="2" t="inlineStr">
        <is>
          <t xml:space="preserve">E-0121</t>
        </is>
      </c>
      <c r="B337" s="2">
        <f>SQRT(-1)</f>
      </c>
      <c r="C337" s="2">
        <f>TYPE(B337)</f>
      </c>
      <c r="D337" s="2">
        <f>IFERROR(ERROR.TYPE(B337),"")</f>
      </c>
      <c r="E337" s="2">
        <f>LEN(B337&amp;"")</f>
      </c>
    </row>
    <row r="338">
      <c r="A338" t="inlineStr">
        <is>
          <t xml:space="preserve">E-0122</t>
        </is>
      </c>
      <c r="B338">
        <f>SQRT(2)</f>
      </c>
      <c r="C338">
        <f>TYPE(B338)</f>
      </c>
      <c r="D338">
        <f>IFERROR(ERROR.TYPE(B338),"")</f>
      </c>
      <c r="E338">
        <f>LEN(B338&amp;"")</f>
      </c>
    </row>
    <row r="339">
      <c r="A339" s="2" t="inlineStr">
        <is>
          <t xml:space="preserve">E-0123</t>
        </is>
      </c>
      <c r="B339" s="2">
        <f>MIN(3,1,2)</f>
      </c>
      <c r="C339" s="2">
        <f>TYPE(B339)</f>
      </c>
      <c r="D339" s="2">
        <f>IFERROR(ERROR.TYPE(B339),"")</f>
      </c>
      <c r="E339" s="2">
        <f>LEN(B339&amp;"")</f>
      </c>
    </row>
    <row r="340">
      <c r="A340" t="inlineStr">
        <is>
          <t xml:space="preserve">E-0124</t>
        </is>
      </c>
      <c r="B340">
        <f>MIN(Inputs!A1:A6)</f>
      </c>
      <c r="C340">
        <f>TYPE(B340)</f>
      </c>
      <c r="D340">
        <f>IFERROR(ERROR.TYPE(B340),"")</f>
      </c>
      <c r="E340">
        <f>LEN(B340&amp;"")</f>
      </c>
    </row>
    <row r="341">
      <c r="A341" s="2" t="inlineStr">
        <is>
          <t xml:space="preserve">E-0125</t>
        </is>
      </c>
      <c r="B341" s="2">
        <f>MIN(Inputs!O1:O2)</f>
      </c>
      <c r="C341" s="2">
        <f>TYPE(B341)</f>
      </c>
      <c r="D341" s="2">
        <f>IFERROR(ERROR.TYPE(B341),"")</f>
      </c>
      <c r="E341" s="2">
        <f>LEN(B341&amp;"")</f>
      </c>
    </row>
    <row r="342">
      <c r="A342" t="inlineStr">
        <is>
          <t xml:space="preserve">E-0126</t>
        </is>
      </c>
      <c r="B342">
        <f>MAX(3,1,2)</f>
      </c>
      <c r="C342">
        <f>TYPE(B342)</f>
      </c>
      <c r="D342">
        <f>IFERROR(ERROR.TYPE(B342),"")</f>
      </c>
      <c r="E342">
        <f>LEN(B342&amp;"")</f>
      </c>
    </row>
    <row r="343">
      <c r="A343" s="2" t="inlineStr">
        <is>
          <t xml:space="preserve">E-0127</t>
        </is>
      </c>
      <c r="B343" s="2">
        <f>MAX(Inputs!A1:A6)</f>
      </c>
      <c r="C343" s="2">
        <f>TYPE(B343)</f>
      </c>
      <c r="D343" s="2">
        <f>IFERROR(ERROR.TYPE(B343),"")</f>
      </c>
      <c r="E343" s="2">
        <f>LEN(B343&amp;"")</f>
      </c>
    </row>
    <row r="344">
      <c r="A344" t="inlineStr">
        <is>
          <t xml:space="preserve">E-0128</t>
        </is>
      </c>
      <c r="B344">
        <f>MAX(Inputs!O1:O2)</f>
      </c>
      <c r="C344">
        <f>TYPE(B344)</f>
      </c>
      <c r="D344">
        <f>IFERROR(ERROR.TYPE(B344),"")</f>
      </c>
      <c r="E344">
        <f>LEN(B344&amp;"")</f>
      </c>
    </row>
    <row r="345">
      <c r="A345" s="2" t="inlineStr">
        <is>
          <t xml:space="preserve">E-0129</t>
        </is>
      </c>
      <c r="B345" s="2">
        <f>MINIFS(Inputs!H1:H4,Inputs!G1:G4,"apple")</f>
      </c>
      <c r="C345" s="2">
        <f>TYPE(B345)</f>
      </c>
      <c r="D345" s="2">
        <f>IFERROR(ERROR.TYPE(B345),"")</f>
      </c>
      <c r="E345" s="2">
        <f>LEN(B345&amp;"")</f>
      </c>
    </row>
    <row r="346">
      <c r="A346" t="inlineStr">
        <is>
          <t xml:space="preserve">E-0130</t>
        </is>
      </c>
      <c r="B346">
        <f>MINIFS(Inputs!H1:H4,Inputs!G1:G4,"zzz")</f>
      </c>
      <c r="C346">
        <f>TYPE(B346)</f>
      </c>
      <c r="D346">
        <f>IFERROR(ERROR.TYPE(B346),"")</f>
      </c>
      <c r="E346">
        <f>LEN(B346&amp;"")</f>
      </c>
    </row>
    <row r="347">
      <c r="A347" s="2" t="inlineStr">
        <is>
          <t xml:space="preserve">E-0131</t>
        </is>
      </c>
      <c r="B347" s="2">
        <f>MINIFS(Inputs!H1:H4,Inputs!H1:H4,"&gt;150")</f>
      </c>
      <c r="C347" s="2">
        <f>TYPE(B347)</f>
      </c>
      <c r="D347" s="2">
        <f>IFERROR(ERROR.TYPE(B347),"")</f>
      </c>
      <c r="E347" s="2">
        <f>LEN(B347&amp;"")</f>
      </c>
    </row>
    <row r="348">
      <c r="A348" t="inlineStr">
        <is>
          <t xml:space="preserve">E-0132</t>
        </is>
      </c>
      <c r="B348">
        <f>MAXIFS(Inputs!H1:H4,Inputs!G1:G4,"apple")</f>
      </c>
      <c r="C348">
        <f>TYPE(B348)</f>
      </c>
      <c r="D348">
        <f>IFERROR(ERROR.TYPE(B348),"")</f>
      </c>
      <c r="E348">
        <f>LEN(B348&amp;"")</f>
      </c>
    </row>
    <row r="349">
      <c r="A349" s="2" t="inlineStr">
        <is>
          <t xml:space="preserve">E-0133</t>
        </is>
      </c>
      <c r="B349" s="2">
        <f>MAXIFS(Inputs!H1:H4,Inputs!H1:H4,"&lt;300")</f>
      </c>
      <c r="C349" s="2">
        <f>TYPE(B349)</f>
      </c>
      <c r="D349" s="2">
        <f>IFERROR(ERROR.TYPE(B349),"")</f>
      </c>
      <c r="E349" s="2">
        <f>LEN(B349&amp;"")</f>
      </c>
    </row>
    <row r="350">
      <c r="A350" t="inlineStr">
        <is>
          <t xml:space="preserve">E-0134</t>
        </is>
      </c>
      <c r="B350">
        <f>MAXIFS(Inputs!H1:H4,Inputs!G1:G4,"zzz")</f>
      </c>
      <c r="C350">
        <f>TYPE(B350)</f>
      </c>
      <c r="D350">
        <f>IFERROR(ERROR.TYPE(B350),"")</f>
      </c>
      <c r="E350">
        <f>LEN(B350&amp;"")</f>
      </c>
    </row>
    <row r="351">
      <c r="A351" s="2" t="inlineStr">
        <is>
          <t xml:space="preserve">E-0135</t>
        </is>
      </c>
      <c r="B351" s="2">
        <f>AVERAGE(1,2,3,4)</f>
      </c>
      <c r="C351" s="2">
        <f>TYPE(B351)</f>
      </c>
      <c r="D351" s="2">
        <f>IFERROR(ERROR.TYPE(B351),"")</f>
      </c>
      <c r="E351" s="2">
        <f>LEN(B351&amp;"")</f>
      </c>
    </row>
    <row r="352">
      <c r="A352" t="inlineStr">
        <is>
          <t xml:space="preserve">E-0136</t>
        </is>
      </c>
      <c r="B352">
        <f>AVERAGE(Inputs!A1:A6)</f>
      </c>
      <c r="C352">
        <f>TYPE(B352)</f>
      </c>
      <c r="D352">
        <f>IFERROR(ERROR.TYPE(B352),"")</f>
      </c>
      <c r="E352">
        <f>LEN(B352&amp;"")</f>
      </c>
    </row>
    <row r="353">
      <c r="A353" s="2" t="inlineStr">
        <is>
          <t xml:space="preserve">E-0137</t>
        </is>
      </c>
      <c r="B353" s="2">
        <f>AVERAGE(Inputs!O1:O2)</f>
      </c>
      <c r="C353" s="2">
        <f>TYPE(B353)</f>
      </c>
      <c r="D353" s="2">
        <f>IFERROR(ERROR.TYPE(B353),"")</f>
      </c>
      <c r="E353" s="2">
        <f>LEN(B353&amp;"")</f>
      </c>
    </row>
    <row r="354">
      <c r="A354" t="inlineStr">
        <is>
          <t xml:space="preserve">E-0138</t>
        </is>
      </c>
      <c r="B354">
        <f>AVERAGE(1,TRUE)</f>
      </c>
      <c r="C354">
        <f>TYPE(B354)</f>
      </c>
      <c r="D354">
        <f>IFERROR(ERROR.TYPE(B354),"")</f>
      </c>
      <c r="E354">
        <f>LEN(B354&amp;"")</f>
      </c>
    </row>
    <row r="355">
      <c r="A355" s="2" t="inlineStr">
        <is>
          <t xml:space="preserve">E-0139</t>
        </is>
      </c>
      <c r="B355" s="2">
        <f>AVERAGEIF(Inputs!H1:H4,"&gt;150")</f>
      </c>
      <c r="C355" s="2">
        <f>TYPE(B355)</f>
      </c>
      <c r="D355" s="2">
        <f>IFERROR(ERROR.TYPE(B355),"")</f>
      </c>
      <c r="E355" s="2">
        <f>LEN(B355&amp;"")</f>
      </c>
    </row>
    <row r="356">
      <c r="A356" t="inlineStr">
        <is>
          <t xml:space="preserve">E-0140</t>
        </is>
      </c>
      <c r="B356">
        <f>AVERAGEIF(Inputs!G1:G4,"apple",Inputs!H1:H4)</f>
      </c>
      <c r="C356">
        <f>TYPE(B356)</f>
      </c>
      <c r="D356">
        <f>IFERROR(ERROR.TYPE(B356),"")</f>
      </c>
      <c r="E356">
        <f>LEN(B356&amp;"")</f>
      </c>
    </row>
    <row r="357">
      <c r="A357" s="2" t="inlineStr">
        <is>
          <t xml:space="preserve">E-0141</t>
        </is>
      </c>
      <c r="B357" s="2">
        <f>AVERAGEIF(Inputs!H1:H4,"&gt;1000")</f>
      </c>
      <c r="C357" s="2">
        <f>TYPE(B357)</f>
      </c>
      <c r="D357" s="2">
        <f>IFERROR(ERROR.TYPE(B357),"")</f>
      </c>
      <c r="E357" s="2">
        <f>LEN(B357&amp;"")</f>
      </c>
    </row>
    <row r="358">
      <c r="A358" t="inlineStr">
        <is>
          <t xml:space="preserve">E-0142</t>
        </is>
      </c>
      <c r="B358">
        <f>AVERAGEIFS(Inputs!H1:H4,Inputs!G1:G4,"&lt;&gt;apple")</f>
      </c>
      <c r="C358">
        <f>TYPE(B358)</f>
      </c>
      <c r="D358">
        <f>IFERROR(ERROR.TYPE(B358),"")</f>
      </c>
      <c r="E358">
        <f>LEN(B358&amp;"")</f>
      </c>
    </row>
    <row r="359">
      <c r="A359" s="2" t="inlineStr">
        <is>
          <t xml:space="preserve">E-0143</t>
        </is>
      </c>
      <c r="B359" s="2">
        <f>AVERAGEIFS(Inputs!H1:H4,Inputs!H1:H4,"&gt;=200",Inputs!H1:H4,"&lt;=300")</f>
      </c>
      <c r="C359" s="2">
        <f>TYPE(B359)</f>
      </c>
      <c r="D359" s="2">
        <f>IFERROR(ERROR.TYPE(B359),"")</f>
      </c>
      <c r="E359" s="2">
        <f>LEN(B359&amp;"")</f>
      </c>
    </row>
    <row r="360">
      <c r="A360" t="inlineStr">
        <is>
          <t xml:space="preserve">E-0144</t>
        </is>
      </c>
      <c r="B360">
        <f>AVERAGEIFS(Inputs!H1:H4,Inputs!G1:G4,"none")</f>
      </c>
      <c r="C360">
        <f>TYPE(B360)</f>
      </c>
      <c r="D360">
        <f>IFERROR(ERROR.TYPE(B360),"")</f>
      </c>
      <c r="E360">
        <f>LEN(B360&amp;"")</f>
      </c>
    </row>
    <row r="361">
      <c r="A361" s="2" t="inlineStr">
        <is>
          <t xml:space="preserve">E-0145</t>
        </is>
      </c>
      <c r="B361" s="2">
        <f>COUNT(Inputs!A1:A6)</f>
      </c>
      <c r="C361" s="2">
        <f>TYPE(B361)</f>
      </c>
      <c r="D361" s="2">
        <f>IFERROR(ERROR.TYPE(B361),"")</f>
      </c>
      <c r="E361" s="2">
        <f>LEN(B361&amp;"")</f>
      </c>
    </row>
    <row r="362">
      <c r="A362" t="inlineStr">
        <is>
          <t xml:space="preserve">E-0146</t>
        </is>
      </c>
      <c r="B362">
        <f>COUNT(Inputs!B1:B5,1,2)</f>
      </c>
      <c r="C362">
        <f>TYPE(B362)</f>
      </c>
      <c r="D362">
        <f>IFERROR(ERROR.TYPE(B362),"")</f>
      </c>
      <c r="E362">
        <f>LEN(B362&amp;"")</f>
      </c>
    </row>
    <row r="363">
      <c r="A363" s="2" t="inlineStr">
        <is>
          <t xml:space="preserve">E-0147</t>
        </is>
      </c>
      <c r="B363" s="2">
        <f>COUNT(Inputs!O1:O2)</f>
      </c>
      <c r="C363" s="2">
        <f>TYPE(B363)</f>
      </c>
      <c r="D363" s="2">
        <f>IFERROR(ERROR.TYPE(B363),"")</f>
      </c>
      <c r="E363" s="2">
        <f>LEN(B363&amp;"")</f>
      </c>
    </row>
    <row r="364">
      <c r="A364" t="inlineStr">
        <is>
          <t xml:space="preserve">E-0148</t>
        </is>
      </c>
      <c r="B364">
        <f>COUNTA(Inputs!A1:A6)</f>
      </c>
      <c r="C364">
        <f>TYPE(B364)</f>
      </c>
      <c r="D364">
        <f>IFERROR(ERROR.TYPE(B364),"")</f>
      </c>
      <c r="E364">
        <f>LEN(B364&amp;"")</f>
      </c>
    </row>
    <row r="365">
      <c r="A365" s="2" t="inlineStr">
        <is>
          <t xml:space="preserve">E-0149</t>
        </is>
      </c>
      <c r="B365" s="2">
        <f>COUNTA(1,"",TRUE)</f>
      </c>
      <c r="C365" s="2">
        <f>TYPE(B365)</f>
      </c>
      <c r="D365" s="2">
        <f>IFERROR(ERROR.TYPE(B365),"")</f>
      </c>
      <c r="E365" s="2">
        <f>LEN(B365&amp;"")</f>
      </c>
    </row>
    <row r="366">
      <c r="A366" t="inlineStr">
        <is>
          <t xml:space="preserve">E-0150</t>
        </is>
      </c>
      <c r="B366">
        <f>COUNTA(Inputs!O1:O2)</f>
      </c>
      <c r="C366">
        <f>TYPE(B366)</f>
      </c>
      <c r="D366">
        <f>IFERROR(ERROR.TYPE(B366),"")</f>
      </c>
      <c r="E366">
        <f>LEN(B366&amp;"")</f>
      </c>
    </row>
    <row r="367">
      <c r="A367" s="2" t="inlineStr">
        <is>
          <t xml:space="preserve">E-0151</t>
        </is>
      </c>
      <c r="B367" s="2">
        <f>COUNTBLANK(Inputs!A1:A6)</f>
      </c>
      <c r="C367" s="2">
        <f>TYPE(B367)</f>
      </c>
      <c r="D367" s="2">
        <f>IFERROR(ERROR.TYPE(B367),"")</f>
      </c>
      <c r="E367" s="2">
        <f>LEN(B367&amp;"")</f>
      </c>
    </row>
    <row r="368">
      <c r="A368" t="inlineStr">
        <is>
          <t xml:space="preserve">E-0152</t>
        </is>
      </c>
      <c r="B368">
        <f>COUNTBLANK(Inputs!O1:O2)</f>
      </c>
      <c r="C368">
        <f>TYPE(B368)</f>
      </c>
      <c r="D368">
        <f>IFERROR(ERROR.TYPE(B368),"")</f>
      </c>
      <c r="E368">
        <f>LEN(B368&amp;"")</f>
      </c>
    </row>
    <row r="369">
      <c r="A369" s="2" t="inlineStr">
        <is>
          <t xml:space="preserve">E-0153</t>
        </is>
      </c>
      <c r="B369" s="2">
        <f>COUNTBLANK(Inputs!B1:B5)</f>
      </c>
      <c r="C369" s="2">
        <f>TYPE(B369)</f>
      </c>
      <c r="D369" s="2">
        <f>IFERROR(ERROR.TYPE(B369),"")</f>
      </c>
      <c r="E369" s="2">
        <f>LEN(B369&amp;"")</f>
      </c>
    </row>
    <row r="370">
      <c r="A370" t="inlineStr">
        <is>
          <t xml:space="preserve">E-0154</t>
        </is>
      </c>
      <c r="B370">
        <f>COUNTIF(Inputs!G1:G4,"apple")</f>
      </c>
      <c r="C370">
        <f>TYPE(B370)</f>
      </c>
      <c r="D370">
        <f>IFERROR(ERROR.TYPE(B370),"")</f>
      </c>
      <c r="E370">
        <f>LEN(B370&amp;"")</f>
      </c>
    </row>
    <row r="371">
      <c r="A371" s="2" t="inlineStr">
        <is>
          <t xml:space="preserve">E-0155</t>
        </is>
      </c>
      <c r="B371" s="2">
        <f>COUNTIF(Inputs!H1:H4,"&gt;200")</f>
      </c>
      <c r="C371" s="2">
        <f>TYPE(B371)</f>
      </c>
      <c r="D371" s="2">
        <f>IFERROR(ERROR.TYPE(B371),"")</f>
      </c>
      <c r="E371" s="2">
        <f>LEN(B371&amp;"")</f>
      </c>
    </row>
    <row r="372">
      <c r="A372" t="inlineStr">
        <is>
          <t xml:space="preserve">E-0156</t>
        </is>
      </c>
      <c r="B372">
        <f>COUNTIF(Inputs!G1:G4,"*an*")</f>
      </c>
      <c r="C372">
        <f>TYPE(B372)</f>
      </c>
      <c r="D372">
        <f>IFERROR(ERROR.TYPE(B372),"")</f>
      </c>
      <c r="E372">
        <f>LEN(B372&amp;"")</f>
      </c>
    </row>
    <row r="373">
      <c r="A373" s="2" t="inlineStr">
        <is>
          <t xml:space="preserve">E-0157</t>
        </is>
      </c>
      <c r="B373" s="2">
        <f>COUNTIF(Inputs!A1:A6,"20")</f>
      </c>
      <c r="C373" s="2">
        <f>TYPE(B373)</f>
      </c>
      <c r="D373" s="2">
        <f>IFERROR(ERROR.TYPE(B373),"")</f>
      </c>
      <c r="E373" s="2">
        <f>LEN(B373&amp;"")</f>
      </c>
    </row>
    <row r="374">
      <c r="A374" t="inlineStr">
        <is>
          <t xml:space="preserve">E-0158</t>
        </is>
      </c>
      <c r="B374">
        <f>COUNTIF(Inputs!G1:G4,"&lt;&gt;apple")</f>
      </c>
      <c r="C374">
        <f>TYPE(B374)</f>
      </c>
      <c r="D374">
        <f>IFERROR(ERROR.TYPE(B374),"")</f>
      </c>
      <c r="E374">
        <f>LEN(B374&amp;"")</f>
      </c>
    </row>
    <row r="375">
      <c r="A375" s="2" t="inlineStr">
        <is>
          <t xml:space="preserve">E-0159</t>
        </is>
      </c>
      <c r="B375" s="2">
        <f>COUNTIFS(Inputs!G1:G4,"apple",Inputs!H1:H4,"&gt;200")</f>
      </c>
      <c r="C375" s="2">
        <f>TYPE(B375)</f>
      </c>
      <c r="D375" s="2">
        <f>IFERROR(ERROR.TYPE(B375),"")</f>
      </c>
      <c r="E375" s="2">
        <f>LEN(B375&amp;"")</f>
      </c>
    </row>
    <row r="376">
      <c r="A376" t="inlineStr">
        <is>
          <t xml:space="preserve">E-0160</t>
        </is>
      </c>
      <c r="B376">
        <f>COUNTIFS(Inputs!H1:H4,"&gt;=100",Inputs!H1:H4,"&lt;=300")</f>
      </c>
      <c r="C376">
        <f>TYPE(B376)</f>
      </c>
      <c r="D376">
        <f>IFERROR(ERROR.TYPE(B376),"")</f>
      </c>
      <c r="E376">
        <f>LEN(B376&amp;"")</f>
      </c>
    </row>
    <row r="377">
      <c r="A377" s="2" t="inlineStr">
        <is>
          <t xml:space="preserve">E-0161</t>
        </is>
      </c>
      <c r="B377" s="2">
        <f>COUNTIFS(Inputs!G1:G4,"~*")</f>
      </c>
      <c r="C377" s="2">
        <f>TYPE(B377)</f>
      </c>
      <c r="D377" s="2">
        <f>IFERROR(ERROR.TYPE(B377),"")</f>
      </c>
      <c r="E377" s="2">
        <f>LEN(B377&amp;"")</f>
      </c>
    </row>
    <row r="378">
      <c r="A378" t="inlineStr">
        <is>
          <t xml:space="preserve">E-0162</t>
        </is>
      </c>
      <c r="B378">
        <f>MEDIAN(1,2,3,4)</f>
      </c>
      <c r="C378">
        <f>TYPE(B378)</f>
      </c>
      <c r="D378">
        <f>IFERROR(ERROR.TYPE(B378),"")</f>
      </c>
      <c r="E378">
        <f>LEN(B378&amp;"")</f>
      </c>
    </row>
    <row r="379">
      <c r="A379" s="2" t="inlineStr">
        <is>
          <t xml:space="preserve">E-0163</t>
        </is>
      </c>
      <c r="B379" s="2">
        <f>MEDIAN(Inputs!E1:E5)</f>
      </c>
      <c r="C379" s="2">
        <f>TYPE(B379)</f>
      </c>
      <c r="D379" s="2">
        <f>IFERROR(ERROR.TYPE(B379),"")</f>
      </c>
      <c r="E379" s="2">
        <f>LEN(B379&amp;"")</f>
      </c>
    </row>
    <row r="380">
      <c r="A380" t="inlineStr">
        <is>
          <t xml:space="preserve">E-0164</t>
        </is>
      </c>
      <c r="B380">
        <f>MEDIAN(Inputs!A1:A6)</f>
      </c>
      <c r="C380">
        <f>TYPE(B380)</f>
      </c>
      <c r="D380">
        <f>IFERROR(ERROR.TYPE(B380),"")</f>
      </c>
      <c r="E380">
        <f>LEN(B380&amp;"")</f>
      </c>
    </row>
    <row r="381">
      <c r="A381" s="2" t="inlineStr">
        <is>
          <t xml:space="preserve">E-0165</t>
        </is>
      </c>
      <c r="B381" s="2">
        <f>LARGE(Inputs!E1:E5,2)</f>
      </c>
      <c r="C381" s="2">
        <f>TYPE(B381)</f>
      </c>
      <c r="D381" s="2">
        <f>IFERROR(ERROR.TYPE(B381),"")</f>
      </c>
      <c r="E381" s="2">
        <f>LEN(B381&amp;"")</f>
      </c>
    </row>
    <row r="382">
      <c r="A382" t="inlineStr">
        <is>
          <t xml:space="preserve">E-0166</t>
        </is>
      </c>
      <c r="B382">
        <f>LARGE(Inputs!E1:E5,6)</f>
      </c>
      <c r="C382">
        <f>TYPE(B382)</f>
      </c>
      <c r="D382">
        <f>IFERROR(ERROR.TYPE(B382),"")</f>
      </c>
      <c r="E382">
        <f>LEN(B382&amp;"")</f>
      </c>
    </row>
    <row r="383">
      <c r="A383" s="2" t="inlineStr">
        <is>
          <t xml:space="preserve">E-0167</t>
        </is>
      </c>
      <c r="B383" s="2">
        <f>LARGE({1,2,3},1)</f>
      </c>
      <c r="C383" s="2">
        <f>TYPE(B383)</f>
      </c>
      <c r="D383" s="2">
        <f>IFERROR(ERROR.TYPE(B383),"")</f>
      </c>
      <c r="E383" s="2">
        <f>LEN(B383&amp;"")</f>
      </c>
    </row>
    <row r="384">
      <c r="A384" t="inlineStr">
        <is>
          <t xml:space="preserve">E-0168</t>
        </is>
      </c>
      <c r="B384">
        <f>SMALL(Inputs!E1:E5,1)</f>
      </c>
      <c r="C384">
        <f>TYPE(B384)</f>
      </c>
      <c r="D384">
        <f>IFERROR(ERROR.TYPE(B384),"")</f>
      </c>
      <c r="E384">
        <f>LEN(B384&amp;"")</f>
      </c>
    </row>
    <row r="385">
      <c r="A385" s="2" t="inlineStr">
        <is>
          <t xml:space="preserve">E-0169</t>
        </is>
      </c>
      <c r="B385" s="2">
        <f>SMALL(Inputs!E1:E5,0)</f>
      </c>
      <c r="C385" s="2">
        <f>TYPE(B385)</f>
      </c>
      <c r="D385" s="2">
        <f>IFERROR(ERROR.TYPE(B385),"")</f>
      </c>
      <c r="E385" s="2">
        <f>LEN(B385&amp;"")</f>
      </c>
    </row>
    <row r="386">
      <c r="A386" t="inlineStr">
        <is>
          <t xml:space="preserve">E-0170</t>
        </is>
      </c>
      <c r="B386">
        <f>SMALL(Inputs!A1:A6,2)</f>
      </c>
      <c r="C386">
        <f>TYPE(B386)</f>
      </c>
      <c r="D386">
        <f>IFERROR(ERROR.TYPE(B386),"")</f>
      </c>
      <c r="E386">
        <f>LEN(B386&amp;"")</f>
      </c>
    </row>
    <row r="387">
      <c r="A387" s="2" t="inlineStr">
        <is>
          <t xml:space="preserve">E-0171</t>
        </is>
      </c>
      <c r="B387" s="2">
        <f>IF(TRUE,1,2)</f>
      </c>
      <c r="C387" s="2">
        <f>TYPE(B387)</f>
      </c>
      <c r="D387" s="2">
        <f>IFERROR(ERROR.TYPE(B387),"")</f>
      </c>
      <c r="E387" s="2">
        <f>LEN(B387&amp;"")</f>
      </c>
    </row>
    <row r="388">
      <c r="A388" t="inlineStr">
        <is>
          <t xml:space="preserve">E-0172</t>
        </is>
      </c>
      <c r="B388">
        <f>IF(0,1,2)</f>
      </c>
      <c r="C388">
        <f>TYPE(B388)</f>
      </c>
      <c r="D388">
        <f>IFERROR(ERROR.TYPE(B388),"")</f>
      </c>
      <c r="E388">
        <f>LEN(B388&amp;"")</f>
      </c>
    </row>
    <row r="389">
      <c r="A389" s="2" t="inlineStr">
        <is>
          <t xml:space="preserve">E-0173</t>
        </is>
      </c>
      <c r="B389" s="2">
        <f>IF("x",1,2)</f>
      </c>
      <c r="C389" s="2">
        <f>TYPE(B389)</f>
      </c>
      <c r="D389" s="2">
        <f>IFERROR(ERROR.TYPE(B389),"")</f>
      </c>
      <c r="E389" s="2">
        <f>LEN(B389&amp;"")</f>
      </c>
    </row>
    <row r="390">
      <c r="A390" t="inlineStr">
        <is>
          <t xml:space="preserve">E-0174</t>
        </is>
      </c>
      <c r="B390">
        <f>IF(FALSE,1)</f>
      </c>
      <c r="C390">
        <f>TYPE(B390)</f>
      </c>
      <c r="D390">
        <f>IFERROR(ERROR.TYPE(B390),"")</f>
      </c>
      <c r="E390">
        <f>LEN(B390&amp;"")</f>
      </c>
    </row>
    <row r="391">
      <c r="A391" s="2" t="inlineStr">
        <is>
          <t xml:space="preserve">E-0175</t>
        </is>
      </c>
      <c r="B391" s="2">
        <f>IF(1/0,1,2)</f>
      </c>
      <c r="C391" s="2">
        <f>TYPE(B391)</f>
      </c>
      <c r="D391" s="2">
        <f>IFERROR(ERROR.TYPE(B391),"")</f>
      </c>
      <c r="E391" s="2">
        <f>LEN(B391&amp;"")</f>
      </c>
    </row>
    <row r="392">
      <c r="A392" t="inlineStr">
        <is>
          <t xml:space="preserve">E-0176</t>
        </is>
      </c>
      <c r="B392">
        <f>IF(TRUE,1,1/0)</f>
      </c>
      <c r="C392">
        <f>TYPE(B392)</f>
      </c>
      <c r="D392">
        <f>IFERROR(ERROR.TYPE(B392),"")</f>
      </c>
      <c r="E392">
        <f>LEN(B392&amp;"")</f>
      </c>
    </row>
    <row r="393">
      <c r="A393" s="2" t="inlineStr">
        <is>
          <t xml:space="preserve">E-0177</t>
        </is>
      </c>
      <c r="B393" s="2">
        <f>IFS(FALSE,1,TRUE,2)</f>
      </c>
      <c r="C393" s="2">
        <f>TYPE(B393)</f>
      </c>
      <c r="D393" s="2">
        <f>IFERROR(ERROR.TYPE(B393),"")</f>
      </c>
      <c r="E393" s="2">
        <f>LEN(B393&amp;"")</f>
      </c>
    </row>
    <row r="394">
      <c r="A394" t="inlineStr">
        <is>
          <t xml:space="preserve">E-0178</t>
        </is>
      </c>
      <c r="B394">
        <f>IFS(FALSE,1)</f>
      </c>
      <c r="C394">
        <f>TYPE(B394)</f>
      </c>
      <c r="D394">
        <f>IFERROR(ERROR.TYPE(B394),"")</f>
      </c>
      <c r="E394">
        <f>LEN(B394&amp;"")</f>
      </c>
    </row>
    <row r="395">
      <c r="A395" s="2" t="inlineStr">
        <is>
          <t xml:space="preserve">E-0179</t>
        </is>
      </c>
      <c r="B395" s="2">
        <f>IFS(1&gt;2,"a",2&gt;1,"b")</f>
      </c>
      <c r="C395" s="2">
        <f>TYPE(B395)</f>
      </c>
      <c r="D395" s="2">
        <f>IFERROR(ERROR.TYPE(B395),"")</f>
      </c>
      <c r="E395" s="2">
        <f>LEN(B395&amp;"")</f>
      </c>
    </row>
    <row r="396">
      <c r="A396" t="inlineStr">
        <is>
          <t xml:space="preserve">E-0180</t>
        </is>
      </c>
      <c r="B396">
        <f>SWITCH(2,1,"one",2,"two")</f>
      </c>
      <c r="C396">
        <f>TYPE(B396)</f>
      </c>
      <c r="D396">
        <f>IFERROR(ERROR.TYPE(B396),"")</f>
      </c>
      <c r="E396">
        <f>LEN(B396&amp;"")</f>
      </c>
    </row>
    <row r="397">
      <c r="A397" s="2" t="inlineStr">
        <is>
          <t xml:space="preserve">E-0181</t>
        </is>
      </c>
      <c r="B397" s="2">
        <f>SWITCH(3,1,"one","default")</f>
      </c>
      <c r="C397" s="2">
        <f>TYPE(B397)</f>
      </c>
      <c r="D397" s="2">
        <f>IFERROR(ERROR.TYPE(B397),"")</f>
      </c>
      <c r="E397" s="2">
        <f>LEN(B397&amp;"")</f>
      </c>
    </row>
    <row r="398">
      <c r="A398" t="inlineStr">
        <is>
          <t xml:space="preserve">E-0182</t>
        </is>
      </c>
      <c r="B398">
        <f>SWITCH(3,1,"one")</f>
      </c>
      <c r="C398">
        <f>TYPE(B398)</f>
      </c>
      <c r="D398">
        <f>IFERROR(ERROR.TYPE(B398),"")</f>
      </c>
      <c r="E398">
        <f>LEN(B398&amp;"")</f>
      </c>
    </row>
    <row r="399">
      <c r="A399" s="2" t="inlineStr">
        <is>
          <t xml:space="preserve">E-0183</t>
        </is>
      </c>
      <c r="B399" s="2">
        <f>SWITCH("A","a","lower","other")</f>
      </c>
      <c r="C399" s="2">
        <f>TYPE(B399)</f>
      </c>
      <c r="D399" s="2">
        <f>IFERROR(ERROR.TYPE(B399),"")</f>
      </c>
      <c r="E399" s="2">
        <f>LEN(B399&amp;"")</f>
      </c>
    </row>
    <row r="400">
      <c r="A400" t="inlineStr">
        <is>
          <t xml:space="preserve">E-0184</t>
        </is>
      </c>
      <c r="B400">
        <f>IFERROR(1/0,"x")</f>
      </c>
      <c r="C400">
        <f>TYPE(B400)</f>
      </c>
      <c r="D400">
        <f>IFERROR(ERROR.TYPE(B400),"")</f>
      </c>
      <c r="E400">
        <f>LEN(B400&amp;"")</f>
      </c>
    </row>
    <row r="401">
      <c r="A401" s="2" t="inlineStr">
        <is>
          <t xml:space="preserve">E-0185</t>
        </is>
      </c>
      <c r="B401" s="2">
        <f>IFERROR(5,"x")</f>
      </c>
      <c r="C401" s="2">
        <f>TYPE(B401)</f>
      </c>
      <c r="D401" s="2">
        <f>IFERROR(ERROR.TYPE(B401),"")</f>
      </c>
      <c r="E401" s="2">
        <f>LEN(B401&amp;"")</f>
      </c>
    </row>
    <row r="402">
      <c r="A402" t="inlineStr">
        <is>
          <t xml:space="preserve">E-0186</t>
        </is>
      </c>
      <c r="B402">
        <f>IFERROR(NA())</f>
      </c>
      <c r="C402">
        <f>TYPE(B402)</f>
      </c>
      <c r="D402">
        <f>IFERROR(ERROR.TYPE(B402),"")</f>
      </c>
      <c r="E402">
        <f>LEN(B402&amp;"")</f>
      </c>
    </row>
    <row r="403">
      <c r="A403" s="2" t="inlineStr">
        <is>
          <t xml:space="preserve">E-0187</t>
        </is>
      </c>
      <c r="B403" s="2">
        <f>IFNA(NA(),"x")</f>
      </c>
      <c r="C403" s="2">
        <f>TYPE(B403)</f>
      </c>
      <c r="D403" s="2">
        <f>IFERROR(ERROR.TYPE(B403),"")</f>
      </c>
      <c r="E403" s="2">
        <f>LEN(B403&amp;"")</f>
      </c>
    </row>
    <row r="404">
      <c r="A404" t="inlineStr">
        <is>
          <t xml:space="preserve">E-0188</t>
        </is>
      </c>
      <c r="B404">
        <f>IFNA(1/0,"x")</f>
      </c>
      <c r="C404">
        <f>TYPE(B404)</f>
      </c>
      <c r="D404">
        <f>IFERROR(ERROR.TYPE(B404),"")</f>
      </c>
      <c r="E404">
        <f>LEN(B404&amp;"")</f>
      </c>
    </row>
    <row r="405">
      <c r="A405" s="2" t="inlineStr">
        <is>
          <t xml:space="preserve">E-0189</t>
        </is>
      </c>
      <c r="B405" s="2">
        <f>IFNA(3,"x")</f>
      </c>
      <c r="C405" s="2">
        <f>TYPE(B405)</f>
      </c>
      <c r="D405" s="2">
        <f>IFERROR(ERROR.TYPE(B405),"")</f>
      </c>
      <c r="E405" s="2">
        <f>LEN(B405&amp;"")</f>
      </c>
    </row>
    <row r="406">
      <c r="A406" t="inlineStr">
        <is>
          <t xml:space="preserve">E-0190</t>
        </is>
      </c>
      <c r="B406">
        <f>AND(TRUE,1)</f>
      </c>
      <c r="C406">
        <f>TYPE(B406)</f>
      </c>
      <c r="D406">
        <f>IFERROR(ERROR.TYPE(B406),"")</f>
      </c>
      <c r="E406">
        <f>LEN(B406&amp;"")</f>
      </c>
    </row>
    <row r="407">
      <c r="A407" s="2" t="inlineStr">
        <is>
          <t xml:space="preserve">E-0191</t>
        </is>
      </c>
      <c r="B407" s="2">
        <f>AND(TRUE,0)</f>
      </c>
      <c r="C407" s="2">
        <f>TYPE(B407)</f>
      </c>
      <c r="D407" s="2">
        <f>IFERROR(ERROR.TYPE(B407),"")</f>
      </c>
      <c r="E407" s="2">
        <f>LEN(B407&amp;"")</f>
      </c>
    </row>
    <row r="408">
      <c r="A408" t="inlineStr">
        <is>
          <t xml:space="preserve">E-0192</t>
        </is>
      </c>
      <c r="B408">
        <f>AND(Inputs!A1:A6)</f>
      </c>
      <c r="C408">
        <f>TYPE(B408)</f>
      </c>
      <c r="D408">
        <f>IFERROR(ERROR.TYPE(B408),"")</f>
      </c>
      <c r="E408">
        <f>LEN(B408&amp;"")</f>
      </c>
    </row>
    <row r="409">
      <c r="A409" s="2" t="inlineStr">
        <is>
          <t xml:space="preserve">E-0193</t>
        </is>
      </c>
      <c r="B409" s="2">
        <f>AND(FALSE,1/0)</f>
      </c>
      <c r="C409" s="2">
        <f>TYPE(B409)</f>
      </c>
      <c r="D409" s="2">
        <f>IFERROR(ERROR.TYPE(B409),"")</f>
      </c>
      <c r="E409" s="2">
        <f>LEN(B409&amp;"")</f>
      </c>
    </row>
    <row r="410">
      <c r="A410" t="inlineStr">
        <is>
          <t xml:space="preserve">E-0194</t>
        </is>
      </c>
      <c r="B410">
        <f>AND("x")</f>
      </c>
      <c r="C410">
        <f>TYPE(B410)</f>
      </c>
      <c r="D410">
        <f>IFERROR(ERROR.TYPE(B410),"")</f>
      </c>
      <c r="E410">
        <f>LEN(B410&amp;"")</f>
      </c>
    </row>
    <row r="411">
      <c r="A411" s="2" t="inlineStr">
        <is>
          <t xml:space="preserve">E-0195</t>
        </is>
      </c>
      <c r="B411" s="2">
        <f>OR(FALSE,0)</f>
      </c>
      <c r="C411" s="2">
        <f>TYPE(B411)</f>
      </c>
      <c r="D411" s="2">
        <f>IFERROR(ERROR.TYPE(B411),"")</f>
      </c>
      <c r="E411" s="2">
        <f>LEN(B411&amp;"")</f>
      </c>
    </row>
    <row r="412">
      <c r="A412" t="inlineStr">
        <is>
          <t xml:space="preserve">E-0196</t>
        </is>
      </c>
      <c r="B412">
        <f>OR(TRUE,1/0)</f>
      </c>
      <c r="C412">
        <f>TYPE(B412)</f>
      </c>
      <c r="D412">
        <f>IFERROR(ERROR.TYPE(B412),"")</f>
      </c>
      <c r="E412">
        <f>LEN(B412&amp;"")</f>
      </c>
    </row>
    <row r="413">
      <c r="A413" s="2" t="inlineStr">
        <is>
          <t xml:space="preserve">E-0197</t>
        </is>
      </c>
      <c r="B413" s="2">
        <f>OR(0,"TRUE")</f>
      </c>
      <c r="C413" s="2">
        <f>TYPE(B413)</f>
      </c>
      <c r="D413" s="2">
        <f>IFERROR(ERROR.TYPE(B413),"")</f>
      </c>
      <c r="E413" s="2">
        <f>LEN(B413&amp;"")</f>
      </c>
    </row>
    <row r="414">
      <c r="A414" t="inlineStr">
        <is>
          <t xml:space="preserve">E-0198</t>
        </is>
      </c>
      <c r="B414">
        <f>NOT(TRUE)</f>
      </c>
      <c r="C414">
        <f>TYPE(B414)</f>
      </c>
      <c r="D414">
        <f>IFERROR(ERROR.TYPE(B414),"")</f>
      </c>
      <c r="E414">
        <f>LEN(B414&amp;"")</f>
      </c>
    </row>
    <row r="415">
      <c r="A415" s="2" t="inlineStr">
        <is>
          <t xml:space="preserve">E-0199</t>
        </is>
      </c>
      <c r="B415" s="2">
        <f>NOT(0)</f>
      </c>
      <c r="C415" s="2">
        <f>TYPE(B415)</f>
      </c>
      <c r="D415" s="2">
        <f>IFERROR(ERROR.TYPE(B415),"")</f>
      </c>
      <c r="E415" s="2">
        <f>LEN(B415&amp;"")</f>
      </c>
    </row>
    <row r="416">
      <c r="A416" t="inlineStr">
        <is>
          <t xml:space="preserve">E-0200</t>
        </is>
      </c>
      <c r="B416">
        <f>NOT("x")</f>
      </c>
      <c r="C416">
        <f>TYPE(B416)</f>
      </c>
      <c r="D416">
        <f>IFERROR(ERROR.TYPE(B416),"")</f>
      </c>
      <c r="E416">
        <f>LEN(B416&amp;"")</f>
      </c>
    </row>
    <row r="417">
      <c r="A417" s="2" t="inlineStr">
        <is>
          <t xml:space="preserve">E-0201</t>
        </is>
      </c>
      <c r="B417" s="2">
        <f>XOR(TRUE,TRUE)</f>
      </c>
      <c r="C417" s="2">
        <f>TYPE(B417)</f>
      </c>
      <c r="D417" s="2">
        <f>IFERROR(ERROR.TYPE(B417),"")</f>
      </c>
      <c r="E417" s="2">
        <f>LEN(B417&amp;"")</f>
      </c>
    </row>
    <row r="418">
      <c r="A418" t="inlineStr">
        <is>
          <t xml:space="preserve">E-0202</t>
        </is>
      </c>
      <c r="B418">
        <f>XOR(TRUE,FALSE,TRUE)</f>
      </c>
      <c r="C418">
        <f>TYPE(B418)</f>
      </c>
      <c r="D418">
        <f>IFERROR(ERROR.TYPE(B418),"")</f>
      </c>
      <c r="E418">
        <f>LEN(B418&amp;"")</f>
      </c>
    </row>
    <row r="419">
      <c r="A419" s="2" t="inlineStr">
        <is>
          <t xml:space="preserve">E-0203</t>
        </is>
      </c>
      <c r="B419" s="2">
        <f>XOR(1,0)</f>
      </c>
      <c r="C419" s="2">
        <f>TYPE(B419)</f>
      </c>
      <c r="D419" s="2">
        <f>IFERROR(ERROR.TYPE(B419),"")</f>
      </c>
      <c r="E419" s="2">
        <f>LEN(B419&amp;"")</f>
      </c>
    </row>
    <row r="420">
      <c r="A420" t="inlineStr">
        <is>
          <t xml:space="preserve">E-0204</t>
        </is>
      </c>
      <c r="B420">
        <f>TRUE()</f>
      </c>
      <c r="C420">
        <f>TYPE(B420)</f>
      </c>
      <c r="D420">
        <f>IFERROR(ERROR.TYPE(B420),"")</f>
      </c>
      <c r="E420">
        <f>LEN(B420&amp;"")</f>
      </c>
    </row>
    <row r="421">
      <c r="A421" s="2" t="inlineStr">
        <is>
          <t xml:space="preserve">E-0205</t>
        </is>
      </c>
      <c r="B421" s="2">
        <f>TRUE()+1</f>
      </c>
      <c r="C421" s="2">
        <f>TYPE(B421)</f>
      </c>
      <c r="D421" s="2">
        <f>IFERROR(ERROR.TYPE(B421),"")</f>
      </c>
      <c r="E421" s="2">
        <f>LEN(B421&amp;"")</f>
      </c>
    </row>
    <row r="422">
      <c r="A422" t="inlineStr">
        <is>
          <t xml:space="preserve">E-0206</t>
        </is>
      </c>
      <c r="B422">
        <f>IF(TRUE(),"t","f")</f>
      </c>
      <c r="C422">
        <f>TYPE(B422)</f>
      </c>
      <c r="D422">
        <f>IFERROR(ERROR.TYPE(B422),"")</f>
      </c>
      <c r="E422">
        <f>LEN(B422&amp;"")</f>
      </c>
    </row>
    <row r="423">
      <c r="A423" s="2" t="inlineStr">
        <is>
          <t xml:space="preserve">E-0207</t>
        </is>
      </c>
      <c r="B423" s="2">
        <f>FALSE()</f>
      </c>
      <c r="C423" s="2">
        <f>TYPE(B423)</f>
      </c>
      <c r="D423" s="2">
        <f>IFERROR(ERROR.TYPE(B423),"")</f>
      </c>
      <c r="E423" s="2">
        <f>LEN(B423&amp;"")</f>
      </c>
    </row>
    <row r="424">
      <c r="A424" t="inlineStr">
        <is>
          <t xml:space="preserve">E-0208</t>
        </is>
      </c>
      <c r="B424">
        <f>FALSE()*1</f>
      </c>
      <c r="C424">
        <f>TYPE(B424)</f>
      </c>
      <c r="D424">
        <f>IFERROR(ERROR.TYPE(B424),"")</f>
      </c>
      <c r="E424">
        <f>LEN(B424&amp;"")</f>
      </c>
    </row>
    <row r="425">
      <c r="A425" s="2" t="inlineStr">
        <is>
          <t xml:space="preserve">E-0209</t>
        </is>
      </c>
      <c r="B425" s="2">
        <f>FALSE()=0</f>
      </c>
      <c r="C425" s="2">
        <f>TYPE(B425)</f>
      </c>
      <c r="D425" s="2">
        <f>IFERROR(ERROR.TYPE(B425),"")</f>
      </c>
      <c r="E425" s="2">
        <f>LEN(B425&amp;"")</f>
      </c>
    </row>
    <row r="426">
      <c r="A426" t="inlineStr">
        <is>
          <t xml:space="preserve">E-0210</t>
        </is>
      </c>
      <c r="B426">
        <f>LET(x,2,y,3,x*y)</f>
      </c>
      <c r="C426">
        <f>TYPE(B426)</f>
      </c>
      <c r="D426">
        <f>IFERROR(ERROR.TYPE(B426),"")</f>
      </c>
      <c r="E426">
        <f>LEN(B426&amp;"")</f>
      </c>
    </row>
    <row r="427">
      <c r="A427" s="2" t="inlineStr">
        <is>
          <t xml:space="preserve">E-0211</t>
        </is>
      </c>
      <c r="B427" s="2">
        <f>LET(x,2,x+LET(x,10,x))</f>
      </c>
      <c r="C427" s="2">
        <f>TYPE(B427)</f>
      </c>
      <c r="D427" s="2">
        <f>IFERROR(ERROR.TYPE(B427),"")</f>
      </c>
      <c r="E427" s="2">
        <f>LEN(B427&amp;"")</f>
      </c>
    </row>
    <row r="428">
      <c r="A428" t="inlineStr">
        <is>
          <t xml:space="preserve">E-0212</t>
        </is>
      </c>
      <c r="B428">
        <f>LET(a,Inputs!B1:B5,SUM(a))</f>
      </c>
      <c r="C428">
        <f>TYPE(B428)</f>
      </c>
      <c r="D428">
        <f>IFERROR(ERROR.TYPE(B428),"")</f>
      </c>
      <c r="E428">
        <f>LEN(B428&amp;"")</f>
      </c>
    </row>
    <row r="429">
      <c r="A429" s="2" t="inlineStr">
        <is>
          <t xml:space="preserve">E-0213</t>
        </is>
      </c>
      <c r="B429" s="2">
        <f>LET(x,1/0,5)</f>
      </c>
      <c r="C429" s="2">
        <f>TYPE(B429)</f>
      </c>
      <c r="D429" s="2">
        <f>IFERROR(ERROR.TYPE(B429),"")</f>
      </c>
      <c r="E429" s="2">
        <f>LEN(B429&amp;"")</f>
      </c>
    </row>
    <row r="430">
      <c r="A430" t="inlineStr">
        <is>
          <t xml:space="preserve">E-0214</t>
        </is>
      </c>
      <c r="B430">
        <f>VLOOKUP(120,Inputs!C2:D5,2,TRUE)</f>
      </c>
      <c r="C430">
        <f>TYPE(B430)</f>
      </c>
      <c r="D430">
        <f>IFERROR(ERROR.TYPE(B430),"")</f>
      </c>
      <c r="E430">
        <f>LEN(B430&amp;"")</f>
      </c>
    </row>
    <row r="431">
      <c r="A431" s="2" t="inlineStr">
        <is>
          <t xml:space="preserve">E-0215</t>
        </is>
      </c>
      <c r="B431" s="2">
        <f>VLOOKUP(100,Inputs!C2:D5,2,TRUE)</f>
      </c>
      <c r="C431" s="2">
        <f>TYPE(B431)</f>
      </c>
      <c r="D431" s="2">
        <f>IFERROR(ERROR.TYPE(B431),"")</f>
      </c>
      <c r="E431" s="2">
        <f>LEN(B431&amp;"")</f>
      </c>
    </row>
    <row r="432">
      <c r="A432" t="inlineStr">
        <is>
          <t xml:space="preserve">E-0216</t>
        </is>
      </c>
      <c r="B432">
        <f>VLOOKUP(0,Inputs!C2:D5,2,TRUE)</f>
      </c>
      <c r="C432">
        <f>TYPE(B432)</f>
      </c>
      <c r="D432">
        <f>IFERROR(ERROR.TYPE(B432),"")</f>
      </c>
      <c r="E432">
        <f>LEN(B432&amp;"")</f>
      </c>
    </row>
    <row r="433">
      <c r="A433" s="2" t="inlineStr">
        <is>
          <t xml:space="preserve">E-0217</t>
        </is>
      </c>
      <c r="B433" s="2">
        <f>VLOOKUP(1000,Inputs!C2:D5,2,TRUE)</f>
      </c>
      <c r="C433" s="2">
        <f>TYPE(B433)</f>
      </c>
      <c r="D433" s="2">
        <f>IFERROR(ERROR.TYPE(B433),"")</f>
      </c>
      <c r="E433" s="2">
        <f>LEN(B433&amp;"")</f>
      </c>
    </row>
    <row r="434">
      <c r="A434" t="inlineStr">
        <is>
          <t xml:space="preserve">E-0218</t>
        </is>
      </c>
      <c r="B434">
        <f>VLOOKUP(50,Inputs!C2:D5,2,FALSE)</f>
      </c>
      <c r="C434">
        <f>TYPE(B434)</f>
      </c>
      <c r="D434">
        <f>IFERROR(ERROR.TYPE(B434),"")</f>
      </c>
      <c r="E434">
        <f>LEN(B434&amp;"")</f>
      </c>
    </row>
    <row r="435">
      <c r="A435" s="2" t="inlineStr">
        <is>
          <t xml:space="preserve">E-0219</t>
        </is>
      </c>
      <c r="B435" s="2">
        <f>VLOOKUP(51,Inputs!C2:D5,2,FALSE)</f>
      </c>
      <c r="C435" s="2">
        <f>TYPE(B435)</f>
      </c>
      <c r="D435" s="2">
        <f>IFERROR(ERROR.TYPE(B435),"")</f>
      </c>
      <c r="E435" s="2">
        <f>LEN(B435&amp;"")</f>
      </c>
    </row>
    <row r="436">
      <c r="A436" t="inlineStr">
        <is>
          <t xml:space="preserve">E-0220</t>
        </is>
      </c>
      <c r="B436">
        <f>VLOOKUP(50,Inputs!C2:D5,3,FALSE)</f>
      </c>
      <c r="C436">
        <f>TYPE(B436)</f>
      </c>
      <c r="D436">
        <f>IFERROR(ERROR.TYPE(B436),"")</f>
      </c>
      <c r="E436">
        <f>LEN(B436&amp;"")</f>
      </c>
    </row>
    <row r="437">
      <c r="A437" s="2" t="inlineStr">
        <is>
          <t xml:space="preserve">E-0221</t>
        </is>
      </c>
      <c r="B437" s="2">
        <f>VLOOKUP("min_qty",Inputs!C1:D5,2,FALSE)</f>
      </c>
      <c r="C437" s="2">
        <f>TYPE(B437)</f>
      </c>
      <c r="D437" s="2">
        <f>IFERROR(ERROR.TYPE(B437),"")</f>
      </c>
      <c r="E437" s="2">
        <f>LEN(B437&amp;"")</f>
      </c>
    </row>
    <row r="438">
      <c r="A438" t="inlineStr">
        <is>
          <t xml:space="preserve">E-0222</t>
        </is>
      </c>
      <c r="B438">
        <f>VLOOKUP(120,Inputs!C1:D5,2,TRUE)</f>
      </c>
      <c r="C438">
        <f>TYPE(B438)</f>
      </c>
      <c r="D438">
        <f>IFERROR(ERROR.TYPE(B438),"")</f>
      </c>
      <c r="E438">
        <f>LEN(B438&amp;"")</f>
      </c>
    </row>
    <row r="439">
      <c r="A439" s="2" t="inlineStr">
        <is>
          <t xml:space="preserve">E-0223</t>
        </is>
      </c>
      <c r="B439" s="2">
        <f>HLOOKUP("b",Inputs!K1:N2,2,FALSE)</f>
      </c>
      <c r="C439" s="2">
        <f>TYPE(B439)</f>
      </c>
      <c r="D439" s="2">
        <f>IFERROR(ERROR.TYPE(B439),"")</f>
      </c>
      <c r="E439" s="2">
        <f>LEN(B439&amp;"")</f>
      </c>
    </row>
    <row r="440">
      <c r="A440" t="inlineStr">
        <is>
          <t xml:space="preserve">E-0224</t>
        </is>
      </c>
      <c r="B440">
        <f>HLOOKUP("z",Inputs!K1:N2,2,FALSE)</f>
      </c>
      <c r="C440">
        <f>TYPE(B440)</f>
      </c>
      <c r="D440">
        <f>IFERROR(ERROR.TYPE(B440),"")</f>
      </c>
      <c r="E440">
        <f>LEN(B440&amp;"")</f>
      </c>
    </row>
    <row r="441">
      <c r="A441" s="2" t="inlineStr">
        <is>
          <t xml:space="preserve">E-0225</t>
        </is>
      </c>
      <c r="B441" s="2">
        <f>HLOOKUP("bb",Inputs!K1:N2,2,TRUE)</f>
      </c>
      <c r="C441" s="2">
        <f>TYPE(B441)</f>
      </c>
      <c r="D441" s="2">
        <f>IFERROR(ERROR.TYPE(B441),"")</f>
      </c>
      <c r="E441" s="2">
        <f>LEN(B441&amp;"")</f>
      </c>
    </row>
    <row r="442">
      <c r="A442" t="inlineStr">
        <is>
          <t xml:space="preserve">E-0226</t>
        </is>
      </c>
      <c r="B442">
        <f>HLOOKUP("a",Inputs!K1:N2,3,FALSE)</f>
      </c>
      <c r="C442">
        <f>TYPE(B442)</f>
      </c>
      <c r="D442">
        <f>IFERROR(ERROR.TYPE(B442),"")</f>
      </c>
      <c r="E442">
        <f>LEN(B442&amp;"")</f>
      </c>
    </row>
    <row r="443">
      <c r="A443" s="2" t="inlineStr">
        <is>
          <t xml:space="preserve">E-0227</t>
        </is>
      </c>
      <c r="B443" s="2">
        <f>XLOOKUP(50,Inputs!C2:C5,Inputs!D2:D5)</f>
      </c>
      <c r="C443" s="2">
        <f>TYPE(B443)</f>
      </c>
      <c r="D443" s="2">
        <f>IFERROR(ERROR.TYPE(B443),"")</f>
      </c>
      <c r="E443" s="2">
        <f>LEN(B443&amp;"")</f>
      </c>
    </row>
    <row r="444">
      <c r="A444" t="inlineStr">
        <is>
          <t xml:space="preserve">E-0228</t>
        </is>
      </c>
      <c r="B444">
        <f>XLOOKUP(51,Inputs!C2:C5,Inputs!D2:D5,"none")</f>
      </c>
      <c r="C444">
        <f>TYPE(B444)</f>
      </c>
      <c r="D444">
        <f>IFERROR(ERROR.TYPE(B444),"")</f>
      </c>
      <c r="E444">
        <f>LEN(B444&amp;"")</f>
      </c>
    </row>
    <row r="445">
      <c r="A445" s="2" t="inlineStr">
        <is>
          <t xml:space="preserve">E-0229</t>
        </is>
      </c>
      <c r="B445" s="2">
        <f>XLOOKUP(120,Inputs!C2:C5,Inputs!D2:D5,,-1)</f>
      </c>
      <c r="C445" s="2">
        <f>TYPE(B445)</f>
      </c>
      <c r="D445" s="2">
        <f>IFERROR(ERROR.TYPE(B445),"")</f>
      </c>
      <c r="E445" s="2">
        <f>LEN(B445&amp;"")</f>
      </c>
    </row>
    <row r="446">
      <c r="A446" t="inlineStr">
        <is>
          <t xml:space="preserve">E-0230</t>
        </is>
      </c>
      <c r="B446">
        <f>XLOOKUP(120,Inputs!C2:C5,Inputs!D2:D5,,1)</f>
      </c>
      <c r="C446">
        <f>TYPE(B446)</f>
      </c>
      <c r="D446">
        <f>IFERROR(ERROR.TYPE(B446),"")</f>
      </c>
      <c r="E446">
        <f>LEN(B446&amp;"")</f>
      </c>
    </row>
    <row r="447">
      <c r="A447" s="2" t="inlineStr">
        <is>
          <t xml:space="preserve">E-0231</t>
        </is>
      </c>
      <c r="B447" s="2">
        <f>XLOOKUP(51,Inputs!C2:C5,Inputs!D2:D5)</f>
      </c>
      <c r="C447" s="2">
        <f>TYPE(B447)</f>
      </c>
      <c r="D447" s="2">
        <f>IFERROR(ERROR.TYPE(B447),"")</f>
      </c>
      <c r="E447" s="2">
        <f>LEN(B447&amp;"")</f>
      </c>
    </row>
    <row r="448">
      <c r="A448" t="inlineStr">
        <is>
          <t xml:space="preserve">E-0232</t>
        </is>
      </c>
      <c r="B448">
        <f>XLOOKUP("a?ple",Inputs!G1:G4,Inputs!H1:H4,,2)</f>
      </c>
      <c r="C448">
        <f>TYPE(B448)</f>
      </c>
      <c r="D448">
        <f>IFERROR(ERROR.TYPE(B448),"")</f>
      </c>
      <c r="E448">
        <f>LEN(B448&amp;"")</f>
      </c>
    </row>
    <row r="449">
      <c r="A449" s="2" t="inlineStr">
        <is>
          <t xml:space="preserve">E-0233</t>
        </is>
      </c>
      <c r="B449" s="2">
        <f>INDEX(Inputs!C1:D5,3,2)</f>
      </c>
      <c r="C449" s="2">
        <f>TYPE(B449)</f>
      </c>
      <c r="D449" s="2">
        <f>IFERROR(ERROR.TYPE(B449),"")</f>
      </c>
      <c r="E449" s="2">
        <f>LEN(B449&amp;"")</f>
      </c>
    </row>
    <row r="450">
      <c r="A450" t="inlineStr">
        <is>
          <t xml:space="preserve">E-0234</t>
        </is>
      </c>
      <c r="B450">
        <f>INDEX(Inputs!B1:B5,4)</f>
      </c>
      <c r="C450">
        <f>TYPE(B450)</f>
      </c>
      <c r="D450">
        <f>IFERROR(ERROR.TYPE(B450),"")</f>
      </c>
      <c r="E450">
        <f>LEN(B450&amp;"")</f>
      </c>
    </row>
    <row r="451">
      <c r="A451" s="2" t="inlineStr">
        <is>
          <t xml:space="preserve">E-0235</t>
        </is>
      </c>
      <c r="B451" s="2">
        <f>INDEX(Inputs!B1:B5,9)</f>
      </c>
      <c r="C451" s="2">
        <f>TYPE(B451)</f>
      </c>
      <c r="D451" s="2">
        <f>IFERROR(ERROR.TYPE(B451),"")</f>
      </c>
      <c r="E451" s="2">
        <f>LEN(B451&amp;"")</f>
      </c>
    </row>
    <row r="452">
      <c r="A452" t="inlineStr">
        <is>
          <t xml:space="preserve">E-0236</t>
        </is>
      </c>
      <c r="B452">
        <f>SUM(INDEX(Inputs!C2:D5,0,2))</f>
      </c>
      <c r="C452">
        <f>TYPE(B452)</f>
      </c>
      <c r="D452">
        <f>IFERROR(ERROR.TYPE(B452),"")</f>
      </c>
      <c r="E452">
        <f>LEN(B452&amp;"")</f>
      </c>
    </row>
    <row r="453">
      <c r="A453" s="2" t="inlineStr">
        <is>
          <t xml:space="preserve">E-0237</t>
        </is>
      </c>
      <c r="B453" s="2">
        <f>SUM(INDEX(Inputs!C2:D5,,2))</f>
      </c>
      <c r="C453" s="2">
        <f>TYPE(B453)</f>
      </c>
      <c r="D453" s="2">
        <f>IFERROR(ERROR.TYPE(B453),"")</f>
      </c>
      <c r="E453" s="2">
        <f>LEN(B453&amp;"")</f>
      </c>
    </row>
    <row r="454">
      <c r="A454" t="inlineStr">
        <is>
          <t xml:space="preserve">E-0238</t>
        </is>
      </c>
      <c r="B454">
        <f>INDEX(Inputs!K1:N2,2,3)</f>
      </c>
      <c r="C454">
        <f>TYPE(B454)</f>
      </c>
      <c r="D454">
        <f>IFERROR(ERROR.TYPE(B454),"")</f>
      </c>
      <c r="E454">
        <f>LEN(B454&amp;"")</f>
      </c>
    </row>
    <row r="455">
      <c r="A455" s="2" t="inlineStr">
        <is>
          <t xml:space="preserve">E-0239</t>
        </is>
      </c>
      <c r="B455" s="2">
        <f>MATCH(120,Inputs!C2:C5,1)</f>
      </c>
      <c r="C455" s="2">
        <f>TYPE(B455)</f>
      </c>
      <c r="D455" s="2">
        <f>IFERROR(ERROR.TYPE(B455),"")</f>
      </c>
      <c r="E455" s="2">
        <f>LEN(B455&amp;"")</f>
      </c>
    </row>
    <row r="456">
      <c r="A456" t="inlineStr">
        <is>
          <t xml:space="preserve">E-0240</t>
        </is>
      </c>
      <c r="B456">
        <f>MATCH(50,Inputs!C2:C5,0)</f>
      </c>
      <c r="C456">
        <f>TYPE(B456)</f>
      </c>
      <c r="D456">
        <f>IFERROR(ERROR.TYPE(B456),"")</f>
      </c>
      <c r="E456">
        <f>LEN(B456&amp;"")</f>
      </c>
    </row>
    <row r="457">
      <c r="A457" s="2" t="inlineStr">
        <is>
          <t xml:space="preserve">E-0241</t>
        </is>
      </c>
      <c r="B457" s="2">
        <f>MATCH("BANANA",Inputs!G1:G4,0)</f>
      </c>
      <c r="C457" s="2">
        <f>TYPE(B457)</f>
      </c>
      <c r="D457" s="2">
        <f>IFERROR(ERROR.TYPE(B457),"")</f>
      </c>
      <c r="E457" s="2">
        <f>LEN(B457&amp;"")</f>
      </c>
    </row>
    <row r="458">
      <c r="A458" t="inlineStr">
        <is>
          <t xml:space="preserve">E-0242</t>
        </is>
      </c>
      <c r="B458">
        <f>MATCH(0,Inputs!C2:C5,1)</f>
      </c>
      <c r="C458">
        <f>TYPE(B458)</f>
      </c>
      <c r="D458">
        <f>IFERROR(ERROR.TYPE(B458),"")</f>
      </c>
      <c r="E458">
        <f>LEN(B458&amp;"")</f>
      </c>
    </row>
    <row r="459">
      <c r="A459" s="2" t="inlineStr">
        <is>
          <t xml:space="preserve">E-0243</t>
        </is>
      </c>
      <c r="B459" s="2">
        <f>MATCH(15,{30,20,10},-1)</f>
      </c>
      <c r="C459" s="2">
        <f>TYPE(B459)</f>
      </c>
      <c r="D459" s="2">
        <f>IFERROR(ERROR.TYPE(B459),"")</f>
      </c>
      <c r="E459" s="2">
        <f>LEN(B459&amp;"")</f>
      </c>
    </row>
    <row r="460">
      <c r="A460" t="inlineStr">
        <is>
          <t xml:space="preserve">E-0244</t>
        </is>
      </c>
      <c r="B460">
        <f>MATCH("b*",Inputs!G1:G4,0)</f>
      </c>
      <c r="C460">
        <f>TYPE(B460)</f>
      </c>
      <c r="D460">
        <f>IFERROR(ERROR.TYPE(B460),"")</f>
      </c>
      <c r="E460">
        <f>LEN(B460&amp;"")</f>
      </c>
    </row>
    <row r="461">
      <c r="A461" s="2" t="inlineStr">
        <is>
          <t xml:space="preserve">E-0245</t>
        </is>
      </c>
      <c r="B461" s="2">
        <f>MATCH(120,Inputs!C2:C5)</f>
      </c>
      <c r="C461" s="2">
        <f>TYPE(B461)</f>
      </c>
      <c r="D461" s="2">
        <f>IFERROR(ERROR.TYPE(B461),"")</f>
      </c>
      <c r="E461" s="2">
        <f>LEN(B461&amp;"")</f>
      </c>
    </row>
    <row r="462">
      <c r="A462" t="inlineStr">
        <is>
          <t xml:space="preserve">E-0246</t>
        </is>
      </c>
      <c r="B462">
        <f>LOOKUP(120,Inputs!C2:C5,Inputs!D2:D5)</f>
      </c>
      <c r="C462">
        <f>TYPE(B462)</f>
      </c>
      <c r="D462">
        <f>IFERROR(ERROR.TYPE(B462),"")</f>
      </c>
      <c r="E462">
        <f>LEN(B462&amp;"")</f>
      </c>
    </row>
    <row r="463">
      <c r="A463" s="2" t="inlineStr">
        <is>
          <t xml:space="preserve">E-0247</t>
        </is>
      </c>
      <c r="B463" s="2">
        <f>LOOKUP(0,Inputs!C2:C5,Inputs!D2:D5)</f>
      </c>
      <c r="C463" s="2">
        <f>TYPE(B463)</f>
      </c>
      <c r="D463" s="2">
        <f>IFERROR(ERROR.TYPE(B463),"")</f>
      </c>
      <c r="E463" s="2">
        <f>LEN(B463&amp;"")</f>
      </c>
    </row>
    <row r="464">
      <c r="A464" t="inlineStr">
        <is>
          <t xml:space="preserve">E-0248</t>
        </is>
      </c>
      <c r="B464">
        <f>LOOKUP(120,Inputs!C2:D5)</f>
      </c>
      <c r="C464">
        <f>TYPE(B464)</f>
      </c>
      <c r="D464">
        <f>IFERROR(ERROR.TYPE(B464),"")</f>
      </c>
      <c r="E464">
        <f>LEN(B464&amp;"")</f>
      </c>
    </row>
    <row r="465">
      <c r="A465" s="2" t="inlineStr">
        <is>
          <t xml:space="preserve">E-0249</t>
        </is>
      </c>
      <c r="B465" s="2">
        <f>CHOOSE(2,"a","b","c")</f>
      </c>
      <c r="C465" s="2">
        <f>TYPE(B465)</f>
      </c>
      <c r="D465" s="2">
        <f>IFERROR(ERROR.TYPE(B465),"")</f>
      </c>
      <c r="E465" s="2">
        <f>LEN(B465&amp;"")</f>
      </c>
    </row>
    <row r="466">
      <c r="A466" t="inlineStr">
        <is>
          <t xml:space="preserve">E-0250</t>
        </is>
      </c>
      <c r="B466">
        <f>CHOOSE(4,"a","b")</f>
      </c>
      <c r="C466">
        <f>TYPE(B466)</f>
      </c>
      <c r="D466">
        <f>IFERROR(ERROR.TYPE(B466),"")</f>
      </c>
      <c r="E466">
        <f>LEN(B466&amp;"")</f>
      </c>
    </row>
    <row r="467">
      <c r="A467" s="2" t="inlineStr">
        <is>
          <t xml:space="preserve">E-0251</t>
        </is>
      </c>
      <c r="B467" s="2">
        <f>CHOOSE(1.9,"a","b")</f>
      </c>
      <c r="C467" s="2">
        <f>TYPE(B467)</f>
      </c>
      <c r="D467" s="2">
        <f>IFERROR(ERROR.TYPE(B467),"")</f>
      </c>
      <c r="E467" s="2">
        <f>LEN(B467&amp;"")</f>
      </c>
    </row>
    <row r="468">
      <c r="A468" t="inlineStr">
        <is>
          <t xml:space="preserve">E-0252</t>
        </is>
      </c>
      <c r="B468">
        <f>CHOOSE(0,"a")</f>
      </c>
      <c r="C468">
        <f>TYPE(B468)</f>
      </c>
      <c r="D468">
        <f>IFERROR(ERROR.TYPE(B468),"")</f>
      </c>
      <c r="E468">
        <f>LEN(B468&amp;"")</f>
      </c>
    </row>
    <row r="469">
      <c r="A469" s="2" t="inlineStr">
        <is>
          <t xml:space="preserve">E-0253</t>
        </is>
      </c>
      <c r="B469" s="2">
        <f>ROWS(Inputs!C1:D5)</f>
      </c>
      <c r="C469" s="2">
        <f>TYPE(B469)</f>
      </c>
      <c r="D469" s="2">
        <f>IFERROR(ERROR.TYPE(B469),"")</f>
      </c>
      <c r="E469" s="2">
        <f>LEN(B469&amp;"")</f>
      </c>
    </row>
    <row r="470">
      <c r="A470" t="inlineStr">
        <is>
          <t xml:space="preserve">E-0254</t>
        </is>
      </c>
      <c r="B470">
        <f>ROWS({1;2;3})</f>
      </c>
      <c r="C470">
        <f>TYPE(B470)</f>
      </c>
      <c r="D470">
        <f>IFERROR(ERROR.TYPE(B470),"")</f>
      </c>
      <c r="E470">
        <f>LEN(B470&amp;"")</f>
      </c>
    </row>
    <row r="471">
      <c r="A471" s="2" t="inlineStr">
        <is>
          <t xml:space="preserve">E-0255</t>
        </is>
      </c>
      <c r="B471" s="2">
        <f>ROWS(Inputs!K1:N2)</f>
      </c>
      <c r="C471" s="2">
        <f>TYPE(B471)</f>
      </c>
      <c r="D471" s="2">
        <f>IFERROR(ERROR.TYPE(B471),"")</f>
      </c>
      <c r="E471" s="2">
        <f>LEN(B471&amp;"")</f>
      </c>
    </row>
    <row r="472">
      <c r="A472" t="inlineStr">
        <is>
          <t xml:space="preserve">E-0256</t>
        </is>
      </c>
      <c r="B472">
        <f>COLUMNS(Inputs!C1:D5)</f>
      </c>
      <c r="C472">
        <f>TYPE(B472)</f>
      </c>
      <c r="D472">
        <f>IFERROR(ERROR.TYPE(B472),"")</f>
      </c>
      <c r="E472">
        <f>LEN(B472&amp;"")</f>
      </c>
    </row>
    <row r="473">
      <c r="A473" s="2" t="inlineStr">
        <is>
          <t xml:space="preserve">E-0257</t>
        </is>
      </c>
      <c r="B473" s="2">
        <f>COLUMNS({1,2,3,4})</f>
      </c>
      <c r="C473" s="2">
        <f>TYPE(B473)</f>
      </c>
      <c r="D473" s="2">
        <f>IFERROR(ERROR.TYPE(B473),"")</f>
      </c>
      <c r="E473" s="2">
        <f>LEN(B473&amp;"")</f>
      </c>
    </row>
    <row r="474">
      <c r="A474" t="inlineStr">
        <is>
          <t xml:space="preserve">E-0258</t>
        </is>
      </c>
      <c r="B474">
        <f>COLUMNS(Inputs!K1:N2)</f>
      </c>
      <c r="C474">
        <f>TYPE(B474)</f>
      </c>
      <c r="D474">
        <f>IFERROR(ERROR.TYPE(B474),"")</f>
      </c>
      <c r="E474">
        <f>LEN(B474&amp;"")</f>
      </c>
    </row>
    <row r="475">
      <c r="A475" s="2" t="inlineStr">
        <is>
          <t xml:space="preserve">E-0259</t>
        </is>
      </c>
      <c r="B475" s="2">
        <f>ISBLANK(Inputs!O1)</f>
      </c>
      <c r="C475" s="2">
        <f>TYPE(B475)</f>
      </c>
      <c r="D475" s="2">
        <f>IFERROR(ERROR.TYPE(B475),"")</f>
      </c>
      <c r="E475" s="2">
        <f>LEN(B475&amp;"")</f>
      </c>
    </row>
    <row r="476">
      <c r="A476" t="inlineStr">
        <is>
          <t xml:space="preserve">E-0260</t>
        </is>
      </c>
      <c r="B476">
        <f>ISBLANK("")</f>
      </c>
      <c r="C476">
        <f>TYPE(B476)</f>
      </c>
      <c r="D476">
        <f>IFERROR(ERROR.TYPE(B476),"")</f>
      </c>
      <c r="E476">
        <f>LEN(B476&amp;"")</f>
      </c>
    </row>
    <row r="477">
      <c r="A477" s="2" t="inlineStr">
        <is>
          <t xml:space="preserve">E-0261</t>
        </is>
      </c>
      <c r="B477" s="2">
        <f>ISBLANK(Inputs!B1)</f>
      </c>
      <c r="C477" s="2">
        <f>TYPE(B477)</f>
      </c>
      <c r="D477" s="2">
        <f>IFERROR(ERROR.TYPE(B477),"")</f>
      </c>
      <c r="E477" s="2">
        <f>LEN(B477&amp;"")</f>
      </c>
    </row>
    <row r="478">
      <c r="A478" t="inlineStr">
        <is>
          <t xml:space="preserve">E-0262</t>
        </is>
      </c>
      <c r="B478">
        <f>ISERROR(1/0)</f>
      </c>
      <c r="C478">
        <f>TYPE(B478)</f>
      </c>
      <c r="D478">
        <f>IFERROR(ERROR.TYPE(B478),"")</f>
      </c>
      <c r="E478">
        <f>LEN(B478&amp;"")</f>
      </c>
    </row>
    <row r="479">
      <c r="A479" s="2" t="inlineStr">
        <is>
          <t xml:space="preserve">E-0263</t>
        </is>
      </c>
      <c r="B479" s="2">
        <f>ISERROR(NA())</f>
      </c>
      <c r="C479" s="2">
        <f>TYPE(B479)</f>
      </c>
      <c r="D479" s="2">
        <f>IFERROR(ERROR.TYPE(B479),"")</f>
      </c>
      <c r="E479" s="2">
        <f>LEN(B479&amp;"")</f>
      </c>
    </row>
    <row r="480">
      <c r="A480" t="inlineStr">
        <is>
          <t xml:space="preserve">E-0264</t>
        </is>
      </c>
      <c r="B480">
        <f>ISERROR(1)</f>
      </c>
      <c r="C480">
        <f>TYPE(B480)</f>
      </c>
      <c r="D480">
        <f>IFERROR(ERROR.TYPE(B480),"")</f>
      </c>
      <c r="E480">
        <f>LEN(B480&amp;"")</f>
      </c>
    </row>
    <row r="481">
      <c r="A481" s="2" t="inlineStr">
        <is>
          <t xml:space="preserve">E-0265</t>
        </is>
      </c>
      <c r="B481" s="2">
        <f>ISERR(NA())</f>
      </c>
      <c r="C481" s="2">
        <f>TYPE(B481)</f>
      </c>
      <c r="D481" s="2">
        <f>IFERROR(ERROR.TYPE(B481),"")</f>
      </c>
      <c r="E481" s="2">
        <f>LEN(B481&amp;"")</f>
      </c>
    </row>
    <row r="482">
      <c r="A482" t="inlineStr">
        <is>
          <t xml:space="preserve">E-0266</t>
        </is>
      </c>
      <c r="B482">
        <f>ISERR(1/0)</f>
      </c>
      <c r="C482">
        <f>TYPE(B482)</f>
      </c>
      <c r="D482">
        <f>IFERROR(ERROR.TYPE(B482),"")</f>
      </c>
      <c r="E482">
        <f>LEN(B482&amp;"")</f>
      </c>
    </row>
    <row r="483">
      <c r="A483" s="2" t="inlineStr">
        <is>
          <t xml:space="preserve">E-0267</t>
        </is>
      </c>
      <c r="B483" s="2">
        <f>ISERR("x")</f>
      </c>
      <c r="C483" s="2">
        <f>TYPE(B483)</f>
      </c>
      <c r="D483" s="2">
        <f>IFERROR(ERROR.TYPE(B483),"")</f>
      </c>
      <c r="E483" s="2">
        <f>LEN(B483&amp;"")</f>
      </c>
    </row>
    <row r="484">
      <c r="A484" t="inlineStr">
        <is>
          <t xml:space="preserve">E-0268</t>
        </is>
      </c>
      <c r="B484">
        <f>ISNA(NA())</f>
      </c>
      <c r="C484">
        <f>TYPE(B484)</f>
      </c>
      <c r="D484">
        <f>IFERROR(ERROR.TYPE(B484),"")</f>
      </c>
      <c r="E484">
        <f>LEN(B484&amp;"")</f>
      </c>
    </row>
    <row r="485">
      <c r="A485" s="2" t="inlineStr">
        <is>
          <t xml:space="preserve">E-0269</t>
        </is>
      </c>
      <c r="B485" s="2">
        <f>ISNA(1/0)</f>
      </c>
      <c r="C485" s="2">
        <f>TYPE(B485)</f>
      </c>
      <c r="D485" s="2">
        <f>IFERROR(ERROR.TYPE(B485),"")</f>
      </c>
      <c r="E485" s="2">
        <f>LEN(B485&amp;"")</f>
      </c>
    </row>
    <row r="486">
      <c r="A486" t="inlineStr">
        <is>
          <t xml:space="preserve">E-0270</t>
        </is>
      </c>
      <c r="B486">
        <f>ISNA(VLOOKUP(51,Inputs!C2:D5,2,FALSE))</f>
      </c>
      <c r="C486">
        <f>TYPE(B486)</f>
      </c>
      <c r="D486">
        <f>IFERROR(ERROR.TYPE(B486),"")</f>
      </c>
      <c r="E486">
        <f>LEN(B486&amp;"")</f>
      </c>
    </row>
    <row r="487">
      <c r="A487" s="2" t="inlineStr">
        <is>
          <t xml:space="preserve">E-0271</t>
        </is>
      </c>
      <c r="B487" s="2">
        <f>ISNUMBER(1)</f>
      </c>
      <c r="C487" s="2">
        <f>TYPE(B487)</f>
      </c>
      <c r="D487" s="2">
        <f>IFERROR(ERROR.TYPE(B487),"")</f>
      </c>
      <c r="E487" s="2">
        <f>LEN(B487&amp;"")</f>
      </c>
    </row>
    <row r="488">
      <c r="A488" t="inlineStr">
        <is>
          <t xml:space="preserve">E-0272</t>
        </is>
      </c>
      <c r="B488">
        <f>ISNUMBER("1")</f>
      </c>
      <c r="C488">
        <f>TYPE(B488)</f>
      </c>
      <c r="D488">
        <f>IFERROR(ERROR.TYPE(B488),"")</f>
      </c>
      <c r="E488">
        <f>LEN(B488&amp;"")</f>
      </c>
    </row>
    <row r="489">
      <c r="A489" s="2" t="inlineStr">
        <is>
          <t xml:space="preserve">E-0273</t>
        </is>
      </c>
      <c r="B489" s="2">
        <f>ISNUMBER(Inputs!A2)</f>
      </c>
      <c r="C489" s="2">
        <f>TYPE(B489)</f>
      </c>
      <c r="D489" s="2">
        <f>IFERROR(ERROR.TYPE(B489),"")</f>
      </c>
      <c r="E489" s="2">
        <f>LEN(B489&amp;"")</f>
      </c>
    </row>
    <row r="490">
      <c r="A490" t="inlineStr">
        <is>
          <t xml:space="preserve">E-0274</t>
        </is>
      </c>
      <c r="B490">
        <f>ISNUMBER(DATE(2026,1,1))</f>
      </c>
      <c r="C490">
        <f>TYPE(B490)</f>
      </c>
      <c r="D490">
        <f>IFERROR(ERROR.TYPE(B490),"")</f>
      </c>
      <c r="E490">
        <f>LEN(B490&amp;"")</f>
      </c>
    </row>
    <row r="491">
      <c r="A491" s="2" t="inlineStr">
        <is>
          <t xml:space="preserve">E-0275</t>
        </is>
      </c>
      <c r="B491" s="2">
        <f>ISTEXT("a")</f>
      </c>
      <c r="C491" s="2">
        <f>TYPE(B491)</f>
      </c>
      <c r="D491" s="2">
        <f>IFERROR(ERROR.TYPE(B491),"")</f>
      </c>
      <c r="E491" s="2">
        <f>LEN(B491&amp;"")</f>
      </c>
    </row>
    <row r="492">
      <c r="A492" t="inlineStr">
        <is>
          <t xml:space="preserve">E-0276</t>
        </is>
      </c>
      <c r="B492">
        <f>ISTEXT(1)</f>
      </c>
      <c r="C492">
        <f>TYPE(B492)</f>
      </c>
      <c r="D492">
        <f>IFERROR(ERROR.TYPE(B492),"")</f>
      </c>
      <c r="E492">
        <f>LEN(B492&amp;"")</f>
      </c>
    </row>
    <row r="493">
      <c r="A493" s="2" t="inlineStr">
        <is>
          <t xml:space="preserve">E-0277</t>
        </is>
      </c>
      <c r="B493" s="2">
        <f>ISTEXT(Inputs!O1)</f>
      </c>
      <c r="C493" s="2">
        <f>TYPE(B493)</f>
      </c>
      <c r="D493" s="2">
        <f>IFERROR(ERROR.TYPE(B493),"")</f>
      </c>
      <c r="E493" s="2">
        <f>LEN(B493&amp;"")</f>
      </c>
    </row>
    <row r="494">
      <c r="A494" t="inlineStr">
        <is>
          <t xml:space="preserve">E-0278</t>
        </is>
      </c>
      <c r="B494">
        <f>ISLOGICAL(TRUE)</f>
      </c>
      <c r="C494">
        <f>TYPE(B494)</f>
      </c>
      <c r="D494">
        <f>IFERROR(ERROR.TYPE(B494),"")</f>
      </c>
      <c r="E494">
        <f>LEN(B494&amp;"")</f>
      </c>
    </row>
    <row r="495">
      <c r="A495" s="2" t="inlineStr">
        <is>
          <t xml:space="preserve">E-0279</t>
        </is>
      </c>
      <c r="B495" s="2">
        <f>ISLOGICAL(1)</f>
      </c>
      <c r="C495" s="2">
        <f>TYPE(B495)</f>
      </c>
      <c r="D495" s="2">
        <f>IFERROR(ERROR.TYPE(B495),"")</f>
      </c>
      <c r="E495" s="2">
        <f>LEN(B495&amp;"")</f>
      </c>
    </row>
    <row r="496">
      <c r="A496" t="inlineStr">
        <is>
          <t xml:space="preserve">E-0280</t>
        </is>
      </c>
      <c r="B496">
        <f>ISLOGICAL("TRUE")</f>
      </c>
      <c r="C496">
        <f>TYPE(B496)</f>
      </c>
      <c r="D496">
        <f>IFERROR(ERROR.TYPE(B496),"")</f>
      </c>
      <c r="E496">
        <f>LEN(B496&amp;"")</f>
      </c>
    </row>
    <row r="497">
      <c r="A497" s="2" t="inlineStr">
        <is>
          <t xml:space="preserve">E-0281</t>
        </is>
      </c>
      <c r="B497" s="2">
        <f>NA()</f>
      </c>
      <c r="C497" s="2">
        <f>TYPE(B497)</f>
      </c>
      <c r="D497" s="2">
        <f>IFERROR(ERROR.TYPE(B497),"")</f>
      </c>
      <c r="E497" s="2">
        <f>LEN(B497&amp;"")</f>
      </c>
    </row>
    <row r="498">
      <c r="A498" t="inlineStr">
        <is>
          <t xml:space="preserve">E-0282</t>
        </is>
      </c>
      <c r="B498">
        <f>NA()+1</f>
      </c>
      <c r="C498">
        <f>TYPE(B498)</f>
      </c>
      <c r="D498">
        <f>IFERROR(ERROR.TYPE(B498),"")</f>
      </c>
      <c r="E498">
        <f>LEN(B498&amp;"")</f>
      </c>
    </row>
    <row r="499">
      <c r="A499" s="2" t="inlineStr">
        <is>
          <t xml:space="preserve">E-0283</t>
        </is>
      </c>
      <c r="B499" s="2">
        <f>IFNA(NA(),0)</f>
      </c>
      <c r="C499" s="2">
        <f>TYPE(B499)</f>
      </c>
      <c r="D499" s="2">
        <f>IFERROR(ERROR.TYPE(B499),"")</f>
      </c>
      <c r="E499" s="2">
        <f>LEN(B499&amp;"")</f>
      </c>
    </row>
    <row r="500">
      <c r="A500" t="inlineStr">
        <is>
          <t xml:space="preserve">E-0284</t>
        </is>
      </c>
      <c r="B500">
        <f>N(TRUE)</f>
      </c>
      <c r="C500">
        <f>TYPE(B500)</f>
      </c>
      <c r="D500">
        <f>IFERROR(ERROR.TYPE(B500),"")</f>
      </c>
      <c r="E500">
        <f>LEN(B500&amp;"")</f>
      </c>
    </row>
    <row r="501">
      <c r="A501" s="2" t="inlineStr">
        <is>
          <t xml:space="preserve">E-0285</t>
        </is>
      </c>
      <c r="B501" s="2">
        <f>N("5")</f>
      </c>
      <c r="C501" s="2">
        <f>TYPE(B501)</f>
      </c>
      <c r="D501" s="2">
        <f>IFERROR(ERROR.TYPE(B501),"")</f>
      </c>
      <c r="E501" s="2">
        <f>LEN(B501&amp;"")</f>
      </c>
    </row>
    <row r="502">
      <c r="A502" t="inlineStr">
        <is>
          <t xml:space="preserve">E-0286</t>
        </is>
      </c>
      <c r="B502">
        <f>N(7)</f>
      </c>
      <c r="C502">
        <f>TYPE(B502)</f>
      </c>
      <c r="D502">
        <f>IFERROR(ERROR.TYPE(B502),"")</f>
      </c>
      <c r="E502">
        <f>LEN(B502&amp;"")</f>
      </c>
    </row>
    <row r="503">
      <c r="A503" s="2" t="inlineStr">
        <is>
          <t xml:space="preserve">E-0287</t>
        </is>
      </c>
      <c r="B503" s="2">
        <f>N(Inputs!O1)</f>
      </c>
      <c r="C503" s="2">
        <f>TYPE(B503)</f>
      </c>
      <c r="D503" s="2">
        <f>IFERROR(ERROR.TYPE(B503),"")</f>
      </c>
      <c r="E503" s="2">
        <f>LEN(B503&amp;"")</f>
      </c>
    </row>
    <row r="504">
      <c r="A504" t="inlineStr">
        <is>
          <t xml:space="preserve">E-0288</t>
        </is>
      </c>
      <c r="B504">
        <f>TYPE(1)</f>
      </c>
      <c r="C504">
        <f>TYPE(B504)</f>
      </c>
      <c r="D504">
        <f>IFERROR(ERROR.TYPE(B504),"")</f>
      </c>
      <c r="E504">
        <f>LEN(B504&amp;"")</f>
      </c>
    </row>
    <row r="505">
      <c r="A505" s="2" t="inlineStr">
        <is>
          <t xml:space="preserve">E-0289</t>
        </is>
      </c>
      <c r="B505" s="2">
        <f>TYPE("a")</f>
      </c>
      <c r="C505" s="2">
        <f>TYPE(B505)</f>
      </c>
      <c r="D505" s="2">
        <f>IFERROR(ERROR.TYPE(B505),"")</f>
      </c>
      <c r="E505" s="2">
        <f>LEN(B505&amp;"")</f>
      </c>
    </row>
    <row r="506">
      <c r="A506" t="inlineStr">
        <is>
          <t xml:space="preserve">E-0290</t>
        </is>
      </c>
      <c r="B506">
        <f>TYPE(TRUE)</f>
      </c>
      <c r="C506">
        <f>TYPE(B506)</f>
      </c>
      <c r="D506">
        <f>IFERROR(ERROR.TYPE(B506),"")</f>
      </c>
      <c r="E506">
        <f>LEN(B506&amp;"")</f>
      </c>
    </row>
    <row r="507">
      <c r="A507" s="2" t="inlineStr">
        <is>
          <t xml:space="preserve">E-0291</t>
        </is>
      </c>
      <c r="B507" s="2">
        <f>TYPE(1/0)</f>
      </c>
      <c r="C507" s="2">
        <f>TYPE(B507)</f>
      </c>
      <c r="D507" s="2">
        <f>IFERROR(ERROR.TYPE(B507),"")</f>
      </c>
      <c r="E507" s="2">
        <f>LEN(B507&amp;"")</f>
      </c>
    </row>
    <row r="508">
      <c r="A508" t="inlineStr">
        <is>
          <t xml:space="preserve">E-0292</t>
        </is>
      </c>
      <c r="B508">
        <f>TYPE({1,2})</f>
      </c>
      <c r="C508">
        <f>TYPE(B508)</f>
      </c>
      <c r="D508">
        <f>IFERROR(ERROR.TYPE(B508),"")</f>
      </c>
      <c r="E508">
        <f>LEN(B508&amp;"")</f>
      </c>
    </row>
    <row r="509">
      <c r="A509" s="2" t="inlineStr">
        <is>
          <t xml:space="preserve">E-0293</t>
        </is>
      </c>
      <c r="B509" s="2">
        <f>ERROR.TYPE(1/0)</f>
      </c>
      <c r="C509" s="2">
        <f>TYPE(B509)</f>
      </c>
      <c r="D509" s="2">
        <f>IFERROR(ERROR.TYPE(B509),"")</f>
      </c>
      <c r="E509" s="2">
        <f>LEN(B509&amp;"")</f>
      </c>
    </row>
    <row r="510">
      <c r="A510" t="inlineStr">
        <is>
          <t xml:space="preserve">E-0294</t>
        </is>
      </c>
      <c r="B510">
        <f>ERROR.TYPE(NA())</f>
      </c>
      <c r="C510">
        <f>TYPE(B510)</f>
      </c>
      <c r="D510">
        <f>IFERROR(ERROR.TYPE(B510),"")</f>
      </c>
      <c r="E510">
        <f>LEN(B510&amp;"")</f>
      </c>
    </row>
    <row r="511">
      <c r="A511" s="2" t="inlineStr">
        <is>
          <t xml:space="preserve">E-0295</t>
        </is>
      </c>
      <c r="B511" s="2">
        <f>ERROR.TYPE(1)</f>
      </c>
      <c r="C511" s="2">
        <f>TYPE(B511)</f>
      </c>
      <c r="D511" s="2">
        <f>IFERROR(ERROR.TYPE(B511),"")</f>
      </c>
      <c r="E511" s="2">
        <f>LEN(B511&amp;"")</f>
      </c>
    </row>
    <row r="512">
      <c r="A512" t="inlineStr">
        <is>
          <t xml:space="preserve">E-0296</t>
        </is>
      </c>
      <c r="B512">
        <f>ERROR.TYPE(SQRT(-1))</f>
      </c>
      <c r="C512">
        <f>TYPE(B512)</f>
      </c>
      <c r="D512">
        <f>IFERROR(ERROR.TYPE(B512),"")</f>
      </c>
      <c r="E512">
        <f>LEN(B512&amp;"")</f>
      </c>
    </row>
    <row r="513">
      <c r="A513" s="2" t="inlineStr">
        <is>
          <t xml:space="preserve">E-0297</t>
        </is>
      </c>
      <c r="B513" s="2">
        <f>ERROR.TYPE(#REF!)</f>
      </c>
      <c r="C513" s="2">
        <f>TYPE(B513)</f>
      </c>
      <c r="D513" s="2">
        <f>IFERROR(ERROR.TYPE(B513),"")</f>
      </c>
      <c r="E513" s="2">
        <f>LEN(B513&amp;"")</f>
      </c>
    </row>
    <row r="514">
      <c r="A514" t="inlineStr">
        <is>
          <t xml:space="preserve">E-0298</t>
        </is>
      </c>
      <c r="B514">
        <f>ERROR.TYPE(#VALUE!)</f>
      </c>
      <c r="C514">
        <f>TYPE(B514)</f>
      </c>
      <c r="D514">
        <f>IFERROR(ERROR.TYPE(B514),"")</f>
      </c>
      <c r="E514">
        <f>LEN(B514&amp;"")</f>
      </c>
    </row>
    <row r="515">
      <c r="A515" s="2" t="inlineStr">
        <is>
          <t xml:space="preserve">E-0299</t>
        </is>
      </c>
      <c r="B515" s="2">
        <f>ERROR.TYPE(#NAME?)</f>
      </c>
      <c r="C515" s="2">
        <f>TYPE(B515)</f>
      </c>
      <c r="D515" s="2">
        <f>IFERROR(ERROR.TYPE(B515),"")</f>
      </c>
      <c r="E515" s="2">
        <f>LEN(B515&amp;"")</f>
      </c>
    </row>
    <row r="516">
      <c r="A516" t="inlineStr">
        <is>
          <t xml:space="preserve">E-0300</t>
        </is>
      </c>
      <c r="B516">
        <f>CONCATENATE("a","b",1)</f>
      </c>
      <c r="C516">
        <f>TYPE(B516)</f>
      </c>
      <c r="D516">
        <f>IFERROR(ERROR.TYPE(B516),"")</f>
      </c>
      <c r="E516">
        <f>LEN(B516&amp;"")</f>
      </c>
    </row>
    <row r="517">
      <c r="A517" s="2" t="inlineStr">
        <is>
          <t xml:space="preserve">E-0301</t>
        </is>
      </c>
      <c r="B517" s="2">
        <f>CONCATENATE(Inputs!G1:G2)</f>
      </c>
      <c r="C517" s="2">
        <f>TYPE(B517)</f>
      </c>
      <c r="D517" s="2">
        <f>IFERROR(ERROR.TYPE(B517),"")</f>
      </c>
      <c r="E517" s="2">
        <f>LEN(B517&amp;"")</f>
      </c>
    </row>
    <row r="518">
      <c r="A518" t="inlineStr">
        <is>
          <t xml:space="preserve">E-0302</t>
        </is>
      </c>
      <c r="B518">
        <f>CONCATENATE(TRUE,1/3)</f>
      </c>
      <c r="C518">
        <f>TYPE(B518)</f>
      </c>
      <c r="D518">
        <f>IFERROR(ERROR.TYPE(B518),"")</f>
      </c>
      <c r="E518">
        <f>LEN(B518&amp;"")</f>
      </c>
    </row>
    <row r="519">
      <c r="A519" s="2" t="inlineStr">
        <is>
          <t xml:space="preserve">E-0303</t>
        </is>
      </c>
      <c r="B519" s="2">
        <f>TEXTJOIN(",",TRUE,"a","","b")</f>
      </c>
      <c r="C519" s="2">
        <f>TYPE(B519)</f>
      </c>
      <c r="D519" s="2">
        <f>IFERROR(ERROR.TYPE(B519),"")</f>
      </c>
      <c r="E519" s="2">
        <f>LEN(B519&amp;"")</f>
      </c>
    </row>
    <row r="520">
      <c r="A520" t="inlineStr">
        <is>
          <t xml:space="preserve">E-0304</t>
        </is>
      </c>
      <c r="B520">
        <f>TEXTJOIN(",",FALSE,"a","","b")</f>
      </c>
      <c r="C520">
        <f>TYPE(B520)</f>
      </c>
      <c r="D520">
        <f>IFERROR(ERROR.TYPE(B520),"")</f>
      </c>
      <c r="E520">
        <f>LEN(B520&amp;"")</f>
      </c>
    </row>
    <row r="521">
      <c r="A521" s="2" t="inlineStr">
        <is>
          <t xml:space="preserve">E-0305</t>
        </is>
      </c>
      <c r="B521" s="2">
        <f>TEXTJOIN("-",TRUE,Inputs!A1:A6)</f>
      </c>
      <c r="C521" s="2">
        <f>TYPE(B521)</f>
      </c>
      <c r="D521" s="2">
        <f>IFERROR(ERROR.TYPE(B521),"")</f>
      </c>
      <c r="E521" s="2">
        <f>LEN(B521&amp;"")</f>
      </c>
    </row>
    <row r="522">
      <c r="A522" t="inlineStr">
        <is>
          <t xml:space="preserve">E-0306</t>
        </is>
      </c>
      <c r="B522">
        <f>TEXTJOIN(", ",TRUE,Inputs!G1:G4)</f>
      </c>
      <c r="C522">
        <f>TYPE(B522)</f>
      </c>
      <c r="D522">
        <f>IFERROR(ERROR.TYPE(B522),"")</f>
      </c>
      <c r="E522">
        <f>LEN(B522&amp;"")</f>
      </c>
    </row>
    <row r="523">
      <c r="A523" s="2" t="inlineStr">
        <is>
          <t xml:space="preserve">E-0307</t>
        </is>
      </c>
      <c r="B523" s="2">
        <f>LEN("abc")</f>
      </c>
      <c r="C523" s="2">
        <f>TYPE(B523)</f>
      </c>
      <c r="D523" s="2">
        <f>IFERROR(ERROR.TYPE(B523),"")</f>
      </c>
      <c r="E523" s="2">
        <f>LEN(B523&amp;"")</f>
      </c>
    </row>
    <row r="524">
      <c r="A524" t="inlineStr">
        <is>
          <t xml:space="preserve">E-0308</t>
        </is>
      </c>
      <c r="B524">
        <f>LEN("")</f>
      </c>
      <c r="C524">
        <f>TYPE(B524)</f>
      </c>
      <c r="D524">
        <f>IFERROR(ERROR.TYPE(B524),"")</f>
      </c>
      <c r="E524">
        <f>LEN(B524&amp;"")</f>
      </c>
    </row>
    <row r="525">
      <c r="A525" s="2" t="inlineStr">
        <is>
          <t xml:space="preserve">E-0309</t>
        </is>
      </c>
      <c r="B525" s="2">
        <f>LEN("é")</f>
      </c>
      <c r="C525" s="2">
        <f>TYPE(B525)</f>
      </c>
      <c r="D525" s="2">
        <f>IFERROR(ERROR.TYPE(B525),"")</f>
      </c>
      <c r="E525" s="2">
        <f>LEN(B525&amp;"")</f>
      </c>
    </row>
    <row r="526">
      <c r="A526" t="inlineStr">
        <is>
          <t xml:space="preserve">E-0310</t>
        </is>
      </c>
      <c r="B526">
        <f>LEN("😀")</f>
      </c>
      <c r="C526">
        <f>TYPE(B526)</f>
      </c>
      <c r="D526">
        <f>IFERROR(ERROR.TYPE(B526),"")</f>
      </c>
      <c r="E526">
        <f>LEN(B526&amp;"")</f>
      </c>
    </row>
    <row r="527">
      <c r="A527" s="2" t="inlineStr">
        <is>
          <t xml:space="preserve">E-0311</t>
        </is>
      </c>
      <c r="B527" s="2">
        <f>LEN(12.5)</f>
      </c>
      <c r="C527" s="2">
        <f>TYPE(B527)</f>
      </c>
      <c r="D527" s="2">
        <f>IFERROR(ERROR.TYPE(B527),"")</f>
      </c>
      <c r="E527" s="2">
        <f>LEN(B527&amp;"")</f>
      </c>
    </row>
    <row r="528">
      <c r="A528" t="inlineStr">
        <is>
          <t xml:space="preserve">E-0312</t>
        </is>
      </c>
      <c r="B528">
        <f>LEN(REPT("a",50001))</f>
      </c>
      <c r="C528">
        <f>TYPE(B528)</f>
      </c>
      <c r="D528">
        <f>IFERROR(ERROR.TYPE(B528),"")</f>
      </c>
      <c r="E528">
        <f>LEN(B528&amp;"")</f>
      </c>
    </row>
    <row r="529">
      <c r="A529" s="2" t="inlineStr">
        <is>
          <t xml:space="preserve">E-0313</t>
        </is>
      </c>
      <c r="B529" s="2">
        <f>LEFT("abcdef",2)</f>
      </c>
      <c r="C529" s="2">
        <f>TYPE(B529)</f>
      </c>
      <c r="D529" s="2">
        <f>IFERROR(ERROR.TYPE(B529),"")</f>
      </c>
      <c r="E529" s="2">
        <f>LEN(B529&amp;"")</f>
      </c>
    </row>
    <row r="530">
      <c r="A530" t="inlineStr">
        <is>
          <t xml:space="preserve">E-0314</t>
        </is>
      </c>
      <c r="B530">
        <f>LEFT("abc")</f>
      </c>
      <c r="C530">
        <f>TYPE(B530)</f>
      </c>
      <c r="D530">
        <f>IFERROR(ERROR.TYPE(B530),"")</f>
      </c>
      <c r="E530">
        <f>LEN(B530&amp;"")</f>
      </c>
    </row>
    <row r="531">
      <c r="A531" s="2" t="inlineStr">
        <is>
          <t xml:space="preserve">E-0315</t>
        </is>
      </c>
      <c r="B531" s="2">
        <f>LEFT("abc",10)</f>
      </c>
      <c r="C531" s="2">
        <f>TYPE(B531)</f>
      </c>
      <c r="D531" s="2">
        <f>IFERROR(ERROR.TYPE(B531),"")</f>
      </c>
      <c r="E531" s="2">
        <f>LEN(B531&amp;"")</f>
      </c>
    </row>
    <row r="532">
      <c r="A532" t="inlineStr">
        <is>
          <t xml:space="preserve">E-0316</t>
        </is>
      </c>
      <c r="B532">
        <f>LEFT("abc",-1)</f>
      </c>
      <c r="C532">
        <f>TYPE(B532)</f>
      </c>
      <c r="D532">
        <f>IFERROR(ERROR.TYPE(B532),"")</f>
      </c>
      <c r="E532">
        <f>LEN(B532&amp;"")</f>
      </c>
    </row>
    <row r="533">
      <c r="A533" s="2" t="inlineStr">
        <is>
          <t xml:space="preserve">E-0317</t>
        </is>
      </c>
      <c r="B533" s="2">
        <f>LEN(LEFT("😀x",1))</f>
      </c>
      <c r="C533" s="2">
        <f>TYPE(B533)</f>
      </c>
      <c r="D533" s="2">
        <f>IFERROR(ERROR.TYPE(B533),"")</f>
      </c>
      <c r="E533" s="2">
        <f>LEN(B533&amp;"")</f>
      </c>
    </row>
    <row r="534">
      <c r="A534" t="inlineStr">
        <is>
          <t xml:space="preserve">E-0318</t>
        </is>
      </c>
      <c r="B534">
        <f>RIGHT("abcdef",2)</f>
      </c>
      <c r="C534">
        <f>TYPE(B534)</f>
      </c>
      <c r="D534">
        <f>IFERROR(ERROR.TYPE(B534),"")</f>
      </c>
      <c r="E534">
        <f>LEN(B534&amp;"")</f>
      </c>
    </row>
    <row r="535">
      <c r="A535" s="2" t="inlineStr">
        <is>
          <t xml:space="preserve">E-0319</t>
        </is>
      </c>
      <c r="B535" s="2">
        <f>RIGHT("abc")</f>
      </c>
      <c r="C535" s="2">
        <f>TYPE(B535)</f>
      </c>
      <c r="D535" s="2">
        <f>IFERROR(ERROR.TYPE(B535),"")</f>
      </c>
      <c r="E535" s="2">
        <f>LEN(B535&amp;"")</f>
      </c>
    </row>
    <row r="536">
      <c r="A536" t="inlineStr">
        <is>
          <t xml:space="preserve">E-0320</t>
        </is>
      </c>
      <c r="B536">
        <f>RIGHT(12345,2)</f>
      </c>
      <c r="C536">
        <f>TYPE(B536)</f>
      </c>
      <c r="D536">
        <f>IFERROR(ERROR.TYPE(B536),"")</f>
      </c>
      <c r="E536">
        <f>LEN(B536&amp;"")</f>
      </c>
    </row>
    <row r="537">
      <c r="A537" s="2" t="inlineStr">
        <is>
          <t xml:space="preserve">E-0321</t>
        </is>
      </c>
      <c r="B537" s="2">
        <f>MID("abcdef",2,3)</f>
      </c>
      <c r="C537" s="2">
        <f>TYPE(B537)</f>
      </c>
      <c r="D537" s="2">
        <f>IFERROR(ERROR.TYPE(B537),"")</f>
      </c>
      <c r="E537" s="2">
        <f>LEN(B537&amp;"")</f>
      </c>
    </row>
    <row r="538">
      <c r="A538" t="inlineStr">
        <is>
          <t xml:space="preserve">E-0322</t>
        </is>
      </c>
      <c r="B538">
        <f>MID("abc",5,1)</f>
      </c>
      <c r="C538">
        <f>TYPE(B538)</f>
      </c>
      <c r="D538">
        <f>IFERROR(ERROR.TYPE(B538),"")</f>
      </c>
      <c r="E538">
        <f>LEN(B538&amp;"")</f>
      </c>
    </row>
    <row r="539">
      <c r="A539" s="2" t="inlineStr">
        <is>
          <t xml:space="preserve">E-0323</t>
        </is>
      </c>
      <c r="B539" s="2">
        <f>MID("abc",0,1)</f>
      </c>
      <c r="C539" s="2">
        <f>TYPE(B539)</f>
      </c>
      <c r="D539" s="2">
        <f>IFERROR(ERROR.TYPE(B539),"")</f>
      </c>
      <c r="E539" s="2">
        <f>LEN(B539&amp;"")</f>
      </c>
    </row>
    <row r="540">
      <c r="A540" t="inlineStr">
        <is>
          <t xml:space="preserve">E-0324</t>
        </is>
      </c>
      <c r="B540">
        <f>MID("abc",2,100)</f>
      </c>
      <c r="C540">
        <f>TYPE(B540)</f>
      </c>
      <c r="D540">
        <f>IFERROR(ERROR.TYPE(B540),"")</f>
      </c>
      <c r="E540">
        <f>LEN(B540&amp;"")</f>
      </c>
    </row>
    <row r="541">
      <c r="A541" s="2" t="inlineStr">
        <is>
          <t xml:space="preserve">E-0325</t>
        </is>
      </c>
      <c r="B541" s="2">
        <f>MID("a😀b",3,1)</f>
      </c>
      <c r="C541" s="2">
        <f>TYPE(B541)</f>
      </c>
      <c r="D541" s="2">
        <f>IFERROR(ERROR.TYPE(B541),"")</f>
      </c>
      <c r="E541" s="2">
        <f>LEN(B541&amp;"")</f>
      </c>
    </row>
    <row r="542">
      <c r="A542" t="inlineStr">
        <is>
          <t xml:space="preserve">E-0326</t>
        </is>
      </c>
      <c r="B542">
        <f>UPPER("abc")</f>
      </c>
      <c r="C542">
        <f>TYPE(B542)</f>
      </c>
      <c r="D542">
        <f>IFERROR(ERROR.TYPE(B542),"")</f>
      </c>
      <c r="E542">
        <f>LEN(B542&amp;"")</f>
      </c>
    </row>
    <row r="543">
      <c r="A543" s="2" t="inlineStr">
        <is>
          <t xml:space="preserve">E-0327</t>
        </is>
      </c>
      <c r="B543" s="2">
        <f>UPPER("straße")</f>
      </c>
      <c r="C543" s="2">
        <f>TYPE(B543)</f>
      </c>
      <c r="D543" s="2">
        <f>IFERROR(ERROR.TYPE(B543),"")</f>
      </c>
      <c r="E543" s="2">
        <f>LEN(B543&amp;"")</f>
      </c>
    </row>
    <row r="544">
      <c r="A544" t="inlineStr">
        <is>
          <t xml:space="preserve">E-0328</t>
        </is>
      </c>
      <c r="B544">
        <f>UPPER(1)</f>
      </c>
      <c r="C544">
        <f>TYPE(B544)</f>
      </c>
      <c r="D544">
        <f>IFERROR(ERROR.TYPE(B544),"")</f>
      </c>
      <c r="E544">
        <f>LEN(B544&amp;"")</f>
      </c>
    </row>
    <row r="545">
      <c r="A545" s="2" t="inlineStr">
        <is>
          <t xml:space="preserve">E-0329</t>
        </is>
      </c>
      <c r="B545" s="2">
        <f>LOWER("ABC")</f>
      </c>
      <c r="C545" s="2">
        <f>TYPE(B545)</f>
      </c>
      <c r="D545" s="2">
        <f>IFERROR(ERROR.TYPE(B545),"")</f>
      </c>
      <c r="E545" s="2">
        <f>LEN(B545&amp;"")</f>
      </c>
    </row>
    <row r="546">
      <c r="A546" t="inlineStr">
        <is>
          <t xml:space="preserve">E-0330</t>
        </is>
      </c>
      <c r="B546">
        <f>LOWER("ÀÉÎ")</f>
      </c>
      <c r="C546">
        <f>TYPE(B546)</f>
      </c>
      <c r="D546">
        <f>IFERROR(ERROR.TYPE(B546),"")</f>
      </c>
      <c r="E546">
        <f>LEN(B546&amp;"")</f>
      </c>
    </row>
    <row r="547">
      <c r="A547" s="2" t="inlineStr">
        <is>
          <t xml:space="preserve">E-0331</t>
        </is>
      </c>
      <c r="B547" s="2">
        <f>LOWER(TRUE)</f>
      </c>
      <c r="C547" s="2">
        <f>TYPE(B547)</f>
      </c>
      <c r="D547" s="2">
        <f>IFERROR(ERROR.TYPE(B547),"")</f>
      </c>
      <c r="E547" s="2">
        <f>LEN(B547&amp;"")</f>
      </c>
    </row>
    <row r="548">
      <c r="A548" t="inlineStr">
        <is>
          <t xml:space="preserve">E-0332</t>
        </is>
      </c>
      <c r="B548">
        <f>PROPER("hello world")</f>
      </c>
      <c r="C548">
        <f>TYPE(B548)</f>
      </c>
      <c r="D548">
        <f>IFERROR(ERROR.TYPE(B548),"")</f>
      </c>
      <c r="E548">
        <f>LEN(B548&amp;"")</f>
      </c>
    </row>
    <row r="549">
      <c r="A549" s="2" t="inlineStr">
        <is>
          <t xml:space="preserve">E-0333</t>
        </is>
      </c>
      <c r="B549" s="2">
        <f>PROPER("o'neil mc-donald")</f>
      </c>
      <c r="C549" s="2">
        <f>TYPE(B549)</f>
      </c>
      <c r="D549" s="2">
        <f>IFERROR(ERROR.TYPE(B549),"")</f>
      </c>
      <c r="E549" s="2">
        <f>LEN(B549&amp;"")</f>
      </c>
    </row>
    <row r="550">
      <c r="A550" t="inlineStr">
        <is>
          <t xml:space="preserve">E-0334</t>
        </is>
      </c>
      <c r="B550">
        <f>PROPER("ABC def2ghi")</f>
      </c>
      <c r="C550">
        <f>TYPE(B550)</f>
      </c>
      <c r="D550">
        <f>IFERROR(ERROR.TYPE(B550),"")</f>
      </c>
      <c r="E550">
        <f>LEN(B550&amp;"")</f>
      </c>
    </row>
    <row r="551">
      <c r="A551" s="2" t="inlineStr">
        <is>
          <t xml:space="preserve">E-0335</t>
        </is>
      </c>
      <c r="B551" s="2">
        <f>TRIM("  a   b  ")</f>
      </c>
      <c r="C551" s="2">
        <f>TYPE(B551)</f>
      </c>
      <c r="D551" s="2">
        <f>IFERROR(ERROR.TYPE(B551),"")</f>
      </c>
      <c r="E551" s="2">
        <f>LEN(B551&amp;"")</f>
      </c>
    </row>
    <row r="552">
      <c r="A552" t="inlineStr">
        <is>
          <t xml:space="preserve">E-0336</t>
        </is>
      </c>
      <c r="B552">
        <f>LEN(TRIM(CHAR(9)&amp;"a"))</f>
      </c>
      <c r="C552">
        <f>TYPE(B552)</f>
      </c>
      <c r="D552">
        <f>IFERROR(ERROR.TYPE(B552),"")</f>
      </c>
      <c r="E552">
        <f>LEN(B552&amp;"")</f>
      </c>
    </row>
    <row r="553">
      <c r="A553" s="2" t="inlineStr">
        <is>
          <t xml:space="preserve">E-0337</t>
        </is>
      </c>
      <c r="B553" s="2">
        <f>LEN(TRIM("a"&amp;CHAR(160)&amp;" b"))</f>
      </c>
      <c r="C553" s="2">
        <f>TYPE(B553)</f>
      </c>
      <c r="D553" s="2">
        <f>IFERROR(ERROR.TYPE(B553),"")</f>
      </c>
      <c r="E553" s="2">
        <f>LEN(B553&amp;"")</f>
      </c>
    </row>
    <row r="554">
      <c r="A554" t="inlineStr">
        <is>
          <t xml:space="preserve">E-0338</t>
        </is>
      </c>
      <c r="B554">
        <f>SUBSTITUTE("aaa","a","b")</f>
      </c>
      <c r="C554">
        <f>TYPE(B554)</f>
      </c>
      <c r="D554">
        <f>IFERROR(ERROR.TYPE(B554),"")</f>
      </c>
      <c r="E554">
        <f>LEN(B554&amp;"")</f>
      </c>
    </row>
    <row r="555">
      <c r="A555" s="2" t="inlineStr">
        <is>
          <t xml:space="preserve">E-0339</t>
        </is>
      </c>
      <c r="B555" s="2">
        <f>SUBSTITUTE("aaa","a","b",2)</f>
      </c>
      <c r="C555" s="2">
        <f>TYPE(B555)</f>
      </c>
      <c r="D555" s="2">
        <f>IFERROR(ERROR.TYPE(B555),"")</f>
      </c>
      <c r="E555" s="2">
        <f>LEN(B555&amp;"")</f>
      </c>
    </row>
    <row r="556">
      <c r="A556" t="inlineStr">
        <is>
          <t xml:space="preserve">E-0340</t>
        </is>
      </c>
      <c r="B556">
        <f>SUBSTITUTE("abc","","x")</f>
      </c>
      <c r="C556">
        <f>TYPE(B556)</f>
      </c>
      <c r="D556">
        <f>IFERROR(ERROR.TYPE(B556),"")</f>
      </c>
      <c r="E556">
        <f>LEN(B556&amp;"")</f>
      </c>
    </row>
    <row r="557">
      <c r="A557" s="2" t="inlineStr">
        <is>
          <t xml:space="preserve">E-0341</t>
        </is>
      </c>
      <c r="B557" s="2">
        <f>SUBSTITUTE("aaa","a","b",0)</f>
      </c>
      <c r="C557" s="2">
        <f>TYPE(B557)</f>
      </c>
      <c r="D557" s="2">
        <f>IFERROR(ERROR.TYPE(B557),"")</f>
      </c>
      <c r="E557" s="2">
        <f>LEN(B557&amp;"")</f>
      </c>
    </row>
    <row r="558">
      <c r="A558" t="inlineStr">
        <is>
          <t xml:space="preserve">E-0342</t>
        </is>
      </c>
      <c r="B558">
        <f>REPT("ab",3)</f>
      </c>
      <c r="C558">
        <f>TYPE(B558)</f>
      </c>
      <c r="D558">
        <f>IFERROR(ERROR.TYPE(B558),"")</f>
      </c>
      <c r="E558">
        <f>LEN(B558&amp;"")</f>
      </c>
    </row>
    <row r="559">
      <c r="A559" s="2" t="inlineStr">
        <is>
          <t xml:space="preserve">E-0343</t>
        </is>
      </c>
      <c r="B559" s="2">
        <f>REPT("a",0)</f>
      </c>
      <c r="C559" s="2">
        <f>TYPE(B559)</f>
      </c>
      <c r="D559" s="2">
        <f>IFERROR(ERROR.TYPE(B559),"")</f>
      </c>
      <c r="E559" s="2">
        <f>LEN(B559&amp;"")</f>
      </c>
    </row>
    <row r="560">
      <c r="A560" t="inlineStr">
        <is>
          <t xml:space="preserve">E-0344</t>
        </is>
      </c>
      <c r="B560">
        <f>REPT("a",-1)</f>
      </c>
      <c r="C560">
        <f>TYPE(B560)</f>
      </c>
      <c r="D560">
        <f>IFERROR(ERROR.TYPE(B560),"")</f>
      </c>
      <c r="E560">
        <f>LEN(B560&amp;"")</f>
      </c>
    </row>
    <row r="561">
      <c r="A561" s="2" t="inlineStr">
        <is>
          <t xml:space="preserve">E-0345</t>
        </is>
      </c>
      <c r="B561" s="2">
        <f>REPT("a",2.9)</f>
      </c>
      <c r="C561" s="2">
        <f>TYPE(B561)</f>
      </c>
      <c r="D561" s="2">
        <f>IFERROR(ERROR.TYPE(B561),"")</f>
      </c>
      <c r="E561" s="2">
        <f>LEN(B561&amp;"")</f>
      </c>
    </row>
    <row r="562">
      <c r="A562" t="inlineStr">
        <is>
          <t xml:space="preserve">E-0346</t>
        </is>
      </c>
      <c r="B562">
        <f>FIND("b","abcb")</f>
      </c>
      <c r="C562">
        <f>TYPE(B562)</f>
      </c>
      <c r="D562">
        <f>IFERROR(ERROR.TYPE(B562),"")</f>
      </c>
      <c r="E562">
        <f>LEN(B562&amp;"")</f>
      </c>
    </row>
    <row r="563">
      <c r="A563" s="2" t="inlineStr">
        <is>
          <t xml:space="preserve">E-0347</t>
        </is>
      </c>
      <c r="B563" s="2">
        <f>FIND("B","abc")</f>
      </c>
      <c r="C563" s="2">
        <f>TYPE(B563)</f>
      </c>
      <c r="D563" s="2">
        <f>IFERROR(ERROR.TYPE(B563),"")</f>
      </c>
      <c r="E563" s="2">
        <f>LEN(B563&amp;"")</f>
      </c>
    </row>
    <row r="564">
      <c r="A564" t="inlineStr">
        <is>
          <t xml:space="preserve">E-0348</t>
        </is>
      </c>
      <c r="B564">
        <f>FIND("b","abcb",3)</f>
      </c>
      <c r="C564">
        <f>TYPE(B564)</f>
      </c>
      <c r="D564">
        <f>IFERROR(ERROR.TYPE(B564),"")</f>
      </c>
      <c r="E564">
        <f>LEN(B564&amp;"")</f>
      </c>
    </row>
    <row r="565">
      <c r="A565" s="2" t="inlineStr">
        <is>
          <t xml:space="preserve">E-0349</t>
        </is>
      </c>
      <c r="B565" s="2">
        <f>FIND("","abc")</f>
      </c>
      <c r="C565" s="2">
        <f>TYPE(B565)</f>
      </c>
      <c r="D565" s="2">
        <f>IFERROR(ERROR.TYPE(B565),"")</f>
      </c>
      <c r="E565" s="2">
        <f>LEN(B565&amp;"")</f>
      </c>
    </row>
    <row r="566">
      <c r="A566" t="inlineStr">
        <is>
          <t xml:space="preserve">E-0350</t>
        </is>
      </c>
      <c r="B566">
        <f>SEARCH("B","abc")</f>
      </c>
      <c r="C566">
        <f>TYPE(B566)</f>
      </c>
      <c r="D566">
        <f>IFERROR(ERROR.TYPE(B566),"")</f>
      </c>
      <c r="E566">
        <f>LEN(B566&amp;"")</f>
      </c>
    </row>
    <row r="567">
      <c r="A567" s="2" t="inlineStr">
        <is>
          <t xml:space="preserve">E-0351</t>
        </is>
      </c>
      <c r="B567" s="2">
        <f>SEARCH("b?","abcb")</f>
      </c>
      <c r="C567" s="2">
        <f>TYPE(B567)</f>
      </c>
      <c r="D567" s="2">
        <f>IFERROR(ERROR.TYPE(B567),"")</f>
      </c>
      <c r="E567" s="2">
        <f>LEN(B567&amp;"")</f>
      </c>
    </row>
    <row r="568">
      <c r="A568" t="inlineStr">
        <is>
          <t xml:space="preserve">E-0352</t>
        </is>
      </c>
      <c r="B568">
        <f>SEARCH("~?","a?b")</f>
      </c>
      <c r="C568">
        <f>TYPE(B568)</f>
      </c>
      <c r="D568">
        <f>IFERROR(ERROR.TYPE(B568),"")</f>
      </c>
      <c r="E568">
        <f>LEN(B568&amp;"")</f>
      </c>
    </row>
    <row r="569">
      <c r="A569" s="2" t="inlineStr">
        <is>
          <t xml:space="preserve">E-0353</t>
        </is>
      </c>
      <c r="B569" s="2">
        <f>SEARCH("z","abc")</f>
      </c>
      <c r="C569" s="2">
        <f>TYPE(B569)</f>
      </c>
      <c r="D569" s="2">
        <f>IFERROR(ERROR.TYPE(B569),"")</f>
      </c>
      <c r="E569" s="2">
        <f>LEN(B569&amp;"")</f>
      </c>
    </row>
    <row r="570">
      <c r="A570" t="inlineStr">
        <is>
          <t xml:space="preserve">E-0354</t>
        </is>
      </c>
      <c r="B570">
        <f>EXACT("a","A")</f>
      </c>
      <c r="C570">
        <f>TYPE(B570)</f>
      </c>
      <c r="D570">
        <f>IFERROR(ERROR.TYPE(B570),"")</f>
      </c>
      <c r="E570">
        <f>LEN(B570&amp;"")</f>
      </c>
    </row>
    <row r="571">
      <c r="A571" s="2" t="inlineStr">
        <is>
          <t xml:space="preserve">E-0355</t>
        </is>
      </c>
      <c r="B571" s="2">
        <f>EXACT("a","a")</f>
      </c>
      <c r="C571" s="2">
        <f>TYPE(B571)</f>
      </c>
      <c r="D571" s="2">
        <f>IFERROR(ERROR.TYPE(B571),"")</f>
      </c>
      <c r="E571" s="2">
        <f>LEN(B571&amp;"")</f>
      </c>
    </row>
    <row r="572">
      <c r="A572" t="inlineStr">
        <is>
          <t xml:space="preserve">E-0356</t>
        </is>
      </c>
      <c r="B572">
        <f>EXACT(1,"1")</f>
      </c>
      <c r="C572">
        <f>TYPE(B572)</f>
      </c>
      <c r="D572">
        <f>IFERROR(ERROR.TYPE(B572),"")</f>
      </c>
      <c r="E572">
        <f>LEN(B572&amp;"")</f>
      </c>
    </row>
    <row r="573">
      <c r="A573" s="2" t="inlineStr">
        <is>
          <t xml:space="preserve">E-0357</t>
        </is>
      </c>
      <c r="B573" s="2">
        <f>VALUE("12.5")</f>
      </c>
      <c r="C573" s="2">
        <f>TYPE(B573)</f>
      </c>
      <c r="D573" s="2">
        <f>IFERROR(ERROR.TYPE(B573),"")</f>
      </c>
      <c r="E573" s="2">
        <f>LEN(B573&amp;"")</f>
      </c>
    </row>
    <row r="574">
      <c r="A574" t="inlineStr">
        <is>
          <t xml:space="preserve">E-0358</t>
        </is>
      </c>
      <c r="B574">
        <f>VALUE("5%")</f>
      </c>
      <c r="C574">
        <f>TYPE(B574)</f>
      </c>
      <c r="D574">
        <f>IFERROR(ERROR.TYPE(B574),"")</f>
      </c>
      <c r="E574">
        <f>LEN(B574&amp;"")</f>
      </c>
    </row>
    <row r="575">
      <c r="A575" s="2" t="inlineStr">
        <is>
          <t xml:space="preserve">E-0359</t>
        </is>
      </c>
      <c r="B575" s="2">
        <f>VALUE("abc")</f>
      </c>
      <c r="C575" s="2">
        <f>TYPE(B575)</f>
      </c>
      <c r="D575" s="2">
        <f>IFERROR(ERROR.TYPE(B575),"")</f>
      </c>
      <c r="E575" s="2">
        <f>LEN(B575&amp;"")</f>
      </c>
    </row>
    <row r="576">
      <c r="A576" t="inlineStr">
        <is>
          <t xml:space="preserve">E-0360</t>
        </is>
      </c>
      <c r="B576">
        <f>VALUE("2026-10-27")</f>
      </c>
      <c r="C576">
        <f>TYPE(B576)</f>
      </c>
      <c r="D576">
        <f>IFERROR(ERROR.TYPE(B576),"")</f>
      </c>
      <c r="E576">
        <f>LEN(B576&amp;"")</f>
      </c>
    </row>
    <row r="577">
      <c r="A577" s="2" t="inlineStr">
        <is>
          <t xml:space="preserve">E-0361</t>
        </is>
      </c>
      <c r="B577" s="2">
        <f>VALUE(" 12 ")</f>
      </c>
      <c r="C577" s="2">
        <f>TYPE(B577)</f>
      </c>
      <c r="D577" s="2">
        <f>IFERROR(ERROR.TYPE(B577),"")</f>
      </c>
      <c r="E577" s="2">
        <f>LEN(B577&amp;"")</f>
      </c>
    </row>
    <row r="578">
      <c r="A578" t="inlineStr">
        <is>
          <t xml:space="preserve">E-0362</t>
        </is>
      </c>
      <c r="B578">
        <f>VALUE("1,234")</f>
      </c>
      <c r="C578">
        <f>TYPE(B578)</f>
      </c>
      <c r="D578">
        <f>IFERROR(ERROR.TYPE(B578),"")</f>
      </c>
      <c r="E578">
        <f>LEN(B578&amp;"")</f>
      </c>
    </row>
    <row r="579">
      <c r="A579" s="2" t="inlineStr">
        <is>
          <t xml:space="preserve">E-0363</t>
        </is>
      </c>
      <c r="B579" s="2">
        <f>FIXED(1234.567,1)</f>
      </c>
      <c r="C579" s="2">
        <f>TYPE(B579)</f>
      </c>
      <c r="D579" s="2">
        <f>IFERROR(ERROR.TYPE(B579),"")</f>
      </c>
      <c r="E579" s="2">
        <f>LEN(B579&amp;"")</f>
      </c>
    </row>
    <row r="580">
      <c r="A580" t="inlineStr">
        <is>
          <t xml:space="preserve">E-0364</t>
        </is>
      </c>
      <c r="B580">
        <f>FIXED(1234.567,1,TRUE)</f>
      </c>
      <c r="C580">
        <f>TYPE(B580)</f>
      </c>
      <c r="D580">
        <f>IFERROR(ERROR.TYPE(B580),"")</f>
      </c>
      <c r="E580">
        <f>LEN(B580&amp;"")</f>
      </c>
    </row>
    <row r="581">
      <c r="A581" s="2" t="inlineStr">
        <is>
          <t xml:space="preserve">E-0365</t>
        </is>
      </c>
      <c r="B581" s="2">
        <f>FIXED(-1234.5,-2)</f>
      </c>
      <c r="C581" s="2">
        <f>TYPE(B581)</f>
      </c>
      <c r="D581" s="2">
        <f>IFERROR(ERROR.TYPE(B581),"")</f>
      </c>
      <c r="E581" s="2">
        <f>LEN(B581&amp;"")</f>
      </c>
    </row>
    <row r="582">
      <c r="A582" t="inlineStr">
        <is>
          <t xml:space="preserve">E-0366</t>
        </is>
      </c>
      <c r="B582">
        <f>FIXED(2.5,0)</f>
      </c>
      <c r="C582">
        <f>TYPE(B582)</f>
      </c>
      <c r="D582">
        <f>IFERROR(ERROR.TYPE(B582),"")</f>
      </c>
      <c r="E582">
        <f>LEN(B582&amp;"")</f>
      </c>
    </row>
    <row r="583">
      <c r="A583" s="2" t="inlineStr">
        <is>
          <t xml:space="preserve">E-0367</t>
        </is>
      </c>
      <c r="B583" s="2">
        <f>DOLLAR(1234.567)</f>
      </c>
      <c r="C583" s="2">
        <f>TYPE(B583)</f>
      </c>
      <c r="D583" s="2">
        <f>IFERROR(ERROR.TYPE(B583),"")</f>
      </c>
      <c r="E583" s="2">
        <f>LEN(B583&amp;"")</f>
      </c>
    </row>
    <row r="584">
      <c r="A584" t="inlineStr">
        <is>
          <t xml:space="preserve">E-0368</t>
        </is>
      </c>
      <c r="B584">
        <f>DOLLAR(-1234.567,1)</f>
      </c>
      <c r="C584">
        <f>TYPE(B584)</f>
      </c>
      <c r="D584">
        <f>IFERROR(ERROR.TYPE(B584),"")</f>
      </c>
      <c r="E584">
        <f>LEN(B584&amp;"")</f>
      </c>
    </row>
    <row r="585">
      <c r="A585" s="2" t="inlineStr">
        <is>
          <t xml:space="preserve">E-0369</t>
        </is>
      </c>
      <c r="B585" s="2">
        <f>DOLLAR(0.5,0)</f>
      </c>
      <c r="C585" s="2">
        <f>TYPE(B585)</f>
      </c>
      <c r="D585" s="2">
        <f>IFERROR(ERROR.TYPE(B585),"")</f>
      </c>
      <c r="E585" s="2">
        <f>LEN(B585&amp;"")</f>
      </c>
    </row>
    <row r="586">
      <c r="A586" t="inlineStr">
        <is>
          <t xml:space="preserve">E-0370</t>
        </is>
      </c>
      <c r="B586">
        <f>TEXT(1234.5,"#,##0.00")</f>
      </c>
      <c r="C586">
        <f>TYPE(B586)</f>
      </c>
      <c r="D586">
        <f>IFERROR(ERROR.TYPE(B586),"")</f>
      </c>
      <c r="E586">
        <f>LEN(B586&amp;"")</f>
      </c>
    </row>
    <row r="587">
      <c r="A587" s="2" t="inlineStr">
        <is>
          <t xml:space="preserve">E-0371</t>
        </is>
      </c>
      <c r="B587" s="2">
        <f>TEXT(0.05,"0%")</f>
      </c>
      <c r="C587" s="2">
        <f>TYPE(B587)</f>
      </c>
      <c r="D587" s="2">
        <f>IFERROR(ERROR.TYPE(B587),"")</f>
      </c>
      <c r="E587" s="2">
        <f>LEN(B587&amp;"")</f>
      </c>
    </row>
    <row r="588">
      <c r="A588" t="inlineStr">
        <is>
          <t xml:space="preserve">E-0372</t>
        </is>
      </c>
      <c r="B588">
        <f>TEXT(0.125,"0.0%")</f>
      </c>
      <c r="C588">
        <f>TYPE(B588)</f>
      </c>
      <c r="D588">
        <f>IFERROR(ERROR.TYPE(B588),"")</f>
      </c>
      <c r="E588">
        <f>LEN(B588&amp;"")</f>
      </c>
    </row>
    <row r="589">
      <c r="A589" s="2" t="inlineStr">
        <is>
          <t xml:space="preserve">E-0373</t>
        </is>
      </c>
      <c r="B589" s="2">
        <f>TEXT(46322,"yyyy-mm-dd")</f>
      </c>
      <c r="C589" s="2">
        <f>TYPE(B589)</f>
      </c>
      <c r="D589" s="2">
        <f>IFERROR(ERROR.TYPE(B589),"")</f>
      </c>
      <c r="E589" s="2">
        <f>LEN(B589&amp;"")</f>
      </c>
    </row>
    <row r="590">
      <c r="A590" t="inlineStr">
        <is>
          <t xml:space="preserve">E-0374</t>
        </is>
      </c>
      <c r="B590">
        <f>TEXT(1234.5,"$#,##0.00")</f>
      </c>
      <c r="C590">
        <f>TYPE(B590)</f>
      </c>
      <c r="D590">
        <f>IFERROR(ERROR.TYPE(B590),"")</f>
      </c>
      <c r="E590">
        <f>LEN(B590&amp;"")</f>
      </c>
    </row>
    <row r="591">
      <c r="A591" s="2" t="inlineStr">
        <is>
          <t xml:space="preserve">E-0375</t>
        </is>
      </c>
      <c r="B591" s="2">
        <f>TEXT(2.5,"0")</f>
      </c>
      <c r="C591" s="2">
        <f>TYPE(B591)</f>
      </c>
      <c r="D591" s="2">
        <f>IFERROR(ERROR.TYPE(B591),"")</f>
      </c>
      <c r="E591" s="2">
        <f>LEN(B591&amp;"")</f>
      </c>
    </row>
    <row r="592">
      <c r="A592" t="inlineStr">
        <is>
          <t xml:space="preserve">E-0376</t>
        </is>
      </c>
      <c r="B592">
        <f>TEXT(-1234.5,"#,##0.00;(#,##0.00)")</f>
      </c>
      <c r="C592">
        <f>TYPE(B592)</f>
      </c>
      <c r="D592">
        <f>IFERROR(ERROR.TYPE(B592),"")</f>
      </c>
      <c r="E592">
        <f>LEN(B592&amp;"")</f>
      </c>
    </row>
    <row r="593">
      <c r="A593" s="2" t="inlineStr">
        <is>
          <t xml:space="preserve">E-0377</t>
        </is>
      </c>
      <c r="B593" s="2">
        <f>TEXT(46322,"dddd, mmmm d, yyyy")</f>
      </c>
      <c r="C593" s="2">
        <f>TYPE(B593)</f>
      </c>
      <c r="D593" s="2">
        <f>IFERROR(ERROR.TYPE(B593),"")</f>
      </c>
      <c r="E593" s="2">
        <f>LEN(B593&amp;"")</f>
      </c>
    </row>
    <row r="594">
      <c r="A594" t="inlineStr">
        <is>
          <t xml:space="preserve">E-0378</t>
        </is>
      </c>
      <c r="B594">
        <f>TEXT(0.5,"0.00")</f>
      </c>
      <c r="C594">
        <f>TYPE(B594)</f>
      </c>
      <c r="D594">
        <f>IFERROR(ERROR.TYPE(B594),"")</f>
      </c>
      <c r="E594">
        <f>LEN(B594&amp;"")</f>
      </c>
    </row>
    <row r="595">
      <c r="A595" s="2" t="inlineStr">
        <is>
          <t xml:space="preserve">E-0379</t>
        </is>
      </c>
      <c r="B595" s="2">
        <f>TEXT(1.005,"0.00")</f>
      </c>
      <c r="C595" s="2">
        <f>TYPE(B595)</f>
      </c>
      <c r="D595" s="2">
        <f>IFERROR(ERROR.TYPE(B595),"")</f>
      </c>
      <c r="E595" s="2">
        <f>LEN(B595&amp;"")</f>
      </c>
    </row>
    <row r="596">
      <c r="A596" t="inlineStr">
        <is>
          <t xml:space="preserve">E-0380</t>
        </is>
      </c>
      <c r="B596">
        <f>DATE(2026,13,1)</f>
      </c>
      <c r="C596">
        <f>TYPE(B596)</f>
      </c>
      <c r="D596">
        <f>IFERROR(ERROR.TYPE(B596),"")</f>
      </c>
      <c r="E596">
        <f>LEN(B596&amp;"")</f>
      </c>
    </row>
    <row r="597">
      <c r="A597" s="2" t="inlineStr">
        <is>
          <t xml:space="preserve">E-0381</t>
        </is>
      </c>
      <c r="B597" s="2">
        <f>DATE(2026,1,0)</f>
      </c>
      <c r="C597" s="2">
        <f>TYPE(B597)</f>
      </c>
      <c r="D597" s="2">
        <f>IFERROR(ERROR.TYPE(B597),"")</f>
      </c>
      <c r="E597" s="2">
        <f>LEN(B597&amp;"")</f>
      </c>
    </row>
    <row r="598">
      <c r="A598" t="inlineStr">
        <is>
          <t xml:space="preserve">E-0382</t>
        </is>
      </c>
      <c r="B598">
        <f>DATE(2026,2,30)</f>
      </c>
      <c r="C598">
        <f>TYPE(B598)</f>
      </c>
      <c r="D598">
        <f>IFERROR(ERROR.TYPE(B598),"")</f>
      </c>
      <c r="E598">
        <f>LEN(B598&amp;"")</f>
      </c>
    </row>
    <row r="599">
      <c r="A599" s="2" t="inlineStr">
        <is>
          <t xml:space="preserve">E-0383</t>
        </is>
      </c>
      <c r="B599" s="2">
        <f>DATE(2026.9,1,1)</f>
      </c>
      <c r="C599" s="2">
        <f>TYPE(B599)</f>
      </c>
      <c r="D599" s="2">
        <f>IFERROR(ERROR.TYPE(B599),"")</f>
      </c>
      <c r="E599" s="2">
        <f>LEN(B599&amp;"")</f>
      </c>
    </row>
    <row r="600">
      <c r="A600" t="inlineStr">
        <is>
          <t xml:space="preserve">E-0384</t>
        </is>
      </c>
      <c r="B600">
        <f>YEAR(46322)</f>
      </c>
      <c r="C600">
        <f>TYPE(B600)</f>
      </c>
      <c r="D600">
        <f>IFERROR(ERROR.TYPE(B600),"")</f>
      </c>
      <c r="E600">
        <f>LEN(B600&amp;"")</f>
      </c>
    </row>
    <row r="601">
      <c r="A601" s="2" t="inlineStr">
        <is>
          <t xml:space="preserve">E-0385</t>
        </is>
      </c>
      <c r="B601" s="2">
        <f>YEAR(0)</f>
      </c>
      <c r="C601" s="2">
        <f>TYPE(B601)</f>
      </c>
      <c r="D601" s="2">
        <f>IFERROR(ERROR.TYPE(B601),"")</f>
      </c>
      <c r="E601" s="2">
        <f>LEN(B601&amp;"")</f>
      </c>
    </row>
    <row r="602">
      <c r="A602" t="inlineStr">
        <is>
          <t xml:space="preserve">E-0386</t>
        </is>
      </c>
      <c r="B602">
        <f>YEAR("2026-10-27")</f>
      </c>
      <c r="C602">
        <f>TYPE(B602)</f>
      </c>
      <c r="D602">
        <f>IFERROR(ERROR.TYPE(B602),"")</f>
      </c>
      <c r="E602">
        <f>LEN(B602&amp;"")</f>
      </c>
    </row>
    <row r="603">
      <c r="A603" s="2" t="inlineStr">
        <is>
          <t xml:space="preserve">E-0387</t>
        </is>
      </c>
      <c r="B603" s="2">
        <f>MONTH(46322)</f>
      </c>
      <c r="C603" s="2">
        <f>TYPE(B603)</f>
      </c>
      <c r="D603" s="2">
        <f>IFERROR(ERROR.TYPE(B603),"")</f>
      </c>
      <c r="E603" s="2">
        <f>LEN(B603&amp;"")</f>
      </c>
    </row>
    <row r="604">
      <c r="A604" t="inlineStr">
        <is>
          <t xml:space="preserve">E-0388</t>
        </is>
      </c>
      <c r="B604">
        <f>MONTH(DATE(2024,2,29))</f>
      </c>
      <c r="C604">
        <f>TYPE(B604)</f>
      </c>
      <c r="D604">
        <f>IFERROR(ERROR.TYPE(B604),"")</f>
      </c>
      <c r="E604">
        <f>LEN(B604&amp;"")</f>
      </c>
    </row>
    <row r="605">
      <c r="A605" s="2" t="inlineStr">
        <is>
          <t xml:space="preserve">E-0389</t>
        </is>
      </c>
      <c r="B605" s="2">
        <f>MONTH("x")</f>
      </c>
      <c r="C605" s="2">
        <f>TYPE(B605)</f>
      </c>
      <c r="D605" s="2">
        <f>IFERROR(ERROR.TYPE(B605),"")</f>
      </c>
      <c r="E605" s="2">
        <f>LEN(B605&amp;"")</f>
      </c>
    </row>
    <row r="606">
      <c r="A606" t="inlineStr">
        <is>
          <t xml:space="preserve">E-0390</t>
        </is>
      </c>
      <c r="B606">
        <f>DAY(46322)</f>
      </c>
      <c r="C606">
        <f>TYPE(B606)</f>
      </c>
      <c r="D606">
        <f>IFERROR(ERROR.TYPE(B606),"")</f>
      </c>
      <c r="E606">
        <f>LEN(B606&amp;"")</f>
      </c>
    </row>
    <row r="607">
      <c r="A607" s="2" t="inlineStr">
        <is>
          <t xml:space="preserve">E-0391</t>
        </is>
      </c>
      <c r="B607" s="2">
        <f>DAY(DATE(2024,3,0))</f>
      </c>
      <c r="C607" s="2">
        <f>TYPE(B607)</f>
      </c>
      <c r="D607" s="2">
        <f>IFERROR(ERROR.TYPE(B607),"")</f>
      </c>
      <c r="E607" s="2">
        <f>LEN(B607&amp;"")</f>
      </c>
    </row>
    <row r="608">
      <c r="A608" t="inlineStr">
        <is>
          <t xml:space="preserve">E-0392</t>
        </is>
      </c>
      <c r="B608">
        <f>DAY(46322.99)</f>
      </c>
      <c r="C608">
        <f>TYPE(B608)</f>
      </c>
      <c r="D608">
        <f>IFERROR(ERROR.TYPE(B608),"")</f>
      </c>
      <c r="E608">
        <f>LEN(B608&amp;"")</f>
      </c>
    </row>
    <row r="609">
      <c r="A609" s="2" t="inlineStr">
        <is>
          <t xml:space="preserve">E-0393</t>
        </is>
      </c>
      <c r="B609" s="2">
        <f>EDATE(DATE(2026,1,31),1)</f>
      </c>
      <c r="C609" s="2">
        <f>TYPE(B609)</f>
      </c>
      <c r="D609" s="2">
        <f>IFERROR(ERROR.TYPE(B609),"")</f>
      </c>
      <c r="E609" s="2">
        <f>LEN(B609&amp;"")</f>
      </c>
    </row>
    <row r="610">
      <c r="A610" t="inlineStr">
        <is>
          <t xml:space="preserve">E-0394</t>
        </is>
      </c>
      <c r="B610">
        <f>EDATE(DATE(2024,1,31),1)</f>
      </c>
      <c r="C610">
        <f>TYPE(B610)</f>
      </c>
      <c r="D610">
        <f>IFERROR(ERROR.TYPE(B610),"")</f>
      </c>
      <c r="E610">
        <f>LEN(B610&amp;"")</f>
      </c>
    </row>
    <row r="611">
      <c r="A611" s="2" t="inlineStr">
        <is>
          <t xml:space="preserve">E-0395</t>
        </is>
      </c>
      <c r="B611" s="2">
        <f>EDATE(DATE(2026,3,31),-1)</f>
      </c>
      <c r="C611" s="2">
        <f>TYPE(B611)</f>
      </c>
      <c r="D611" s="2">
        <f>IFERROR(ERROR.TYPE(B611),"")</f>
      </c>
      <c r="E611" s="2">
        <f>LEN(B611&amp;"")</f>
      </c>
    </row>
    <row r="612">
      <c r="A612" t="inlineStr">
        <is>
          <t xml:space="preserve">E-0396</t>
        </is>
      </c>
      <c r="B612">
        <f>EDATE(DATE(2026,1,15),1.9)</f>
      </c>
      <c r="C612">
        <f>TYPE(B612)</f>
      </c>
      <c r="D612">
        <f>IFERROR(ERROR.TYPE(B612),"")</f>
      </c>
      <c r="E612">
        <f>LEN(B612&amp;"")</f>
      </c>
    </row>
    <row r="613">
      <c r="A613" s="2" t="inlineStr">
        <is>
          <t xml:space="preserve">E-0397</t>
        </is>
      </c>
      <c r="B613" s="2">
        <f>EOMONTH(DATE(2026,1,15),0)</f>
      </c>
      <c r="C613" s="2">
        <f>TYPE(B613)</f>
      </c>
      <c r="D613" s="2">
        <f>IFERROR(ERROR.TYPE(B613),"")</f>
      </c>
      <c r="E613" s="2">
        <f>LEN(B613&amp;"")</f>
      </c>
    </row>
    <row r="614">
      <c r="A614" t="inlineStr">
        <is>
          <t xml:space="preserve">E-0398</t>
        </is>
      </c>
      <c r="B614">
        <f>EOMONTH(DATE(2026,1,15),1)</f>
      </c>
      <c r="C614">
        <f>TYPE(B614)</f>
      </c>
      <c r="D614">
        <f>IFERROR(ERROR.TYPE(B614),"")</f>
      </c>
      <c r="E614">
        <f>LEN(B614&amp;"")</f>
      </c>
    </row>
    <row r="615">
      <c r="A615" s="2" t="inlineStr">
        <is>
          <t xml:space="preserve">E-0399</t>
        </is>
      </c>
      <c r="B615" s="2">
        <f>EOMONTH(DATE(2024,1,15),1)</f>
      </c>
      <c r="C615" s="2">
        <f>TYPE(B615)</f>
      </c>
      <c r="D615" s="2">
        <f>IFERROR(ERROR.TYPE(B615),"")</f>
      </c>
      <c r="E615" s="2">
        <f>LEN(B615&amp;"")</f>
      </c>
    </row>
    <row r="616">
      <c r="A616" t="inlineStr">
        <is>
          <t xml:space="preserve">E-0400</t>
        </is>
      </c>
      <c r="B616">
        <f>EOMONTH(DATE(2026,1,15),-13)</f>
      </c>
      <c r="C616">
        <f>TYPE(B616)</f>
      </c>
      <c r="D616">
        <f>IFERROR(ERROR.TYPE(B616),"")</f>
      </c>
      <c r="E616">
        <f>LEN(B616&amp;"")</f>
      </c>
    </row>
    <row r="617">
      <c r="A617" s="2" t="inlineStr">
        <is>
          <t xml:space="preserve">E-0401</t>
        </is>
      </c>
      <c r="B617" s="2">
        <f>DAYS(DATE(2026,12,25),DATE(2026,10,27))</f>
      </c>
      <c r="C617" s="2">
        <f>TYPE(B617)</f>
      </c>
      <c r="D617" s="2">
        <f>IFERROR(ERROR.TYPE(B617),"")</f>
      </c>
      <c r="E617" s="2">
        <f>LEN(B617&amp;"")</f>
      </c>
    </row>
    <row r="618">
      <c r="A618" t="inlineStr">
        <is>
          <t xml:space="preserve">E-0402</t>
        </is>
      </c>
      <c r="B618">
        <f>DAYS("2026-01-02","2026-01-01")</f>
      </c>
      <c r="C618">
        <f>TYPE(B618)</f>
      </c>
      <c r="D618">
        <f>IFERROR(ERROR.TYPE(B618),"")</f>
      </c>
      <c r="E618">
        <f>LEN(B618&amp;"")</f>
      </c>
    </row>
    <row r="619">
      <c r="A619" s="2" t="inlineStr">
        <is>
          <t xml:space="preserve">E-0403</t>
        </is>
      </c>
      <c r="B619" s="2">
        <f>DAYS(DATE(2026,1,1),DATE(2026,12,31))</f>
      </c>
      <c r="C619" s="2">
        <f>TYPE(B619)</f>
      </c>
      <c r="D619" s="2">
        <f>IFERROR(ERROR.TYPE(B619),"")</f>
      </c>
      <c r="E619" s="2">
        <f>LEN(B619&amp;"")</f>
      </c>
    </row>
    <row r="620">
      <c r="A620" t="inlineStr">
        <is>
          <t xml:space="preserve">E-0404</t>
        </is>
      </c>
      <c r="B620">
        <f>DATEDIF(DATE(2020,1,15),DATE(2026,10,27),"Y")</f>
      </c>
      <c r="C620">
        <f>TYPE(B620)</f>
      </c>
      <c r="D620">
        <f>IFERROR(ERROR.TYPE(B620),"")</f>
      </c>
      <c r="E620">
        <f>LEN(B620&amp;"")</f>
      </c>
    </row>
    <row r="621">
      <c r="A621" s="2" t="inlineStr">
        <is>
          <t xml:space="preserve">E-0405</t>
        </is>
      </c>
      <c r="B621" s="2">
        <f>DATEDIF(DATE(2020,1,15),DATE(2026,10,27),"M")</f>
      </c>
      <c r="C621" s="2">
        <f>TYPE(B621)</f>
      </c>
      <c r="D621" s="2">
        <f>IFERROR(ERROR.TYPE(B621),"")</f>
      </c>
      <c r="E621" s="2">
        <f>LEN(B621&amp;"")</f>
      </c>
    </row>
    <row r="622">
      <c r="A622" t="inlineStr">
        <is>
          <t xml:space="preserve">E-0406</t>
        </is>
      </c>
      <c r="B622">
        <f>DATEDIF(DATE(2020,1,15),DATE(2026,10,27),"D")</f>
      </c>
      <c r="C622">
        <f>TYPE(B622)</f>
      </c>
      <c r="D622">
        <f>IFERROR(ERROR.TYPE(B622),"")</f>
      </c>
      <c r="E622">
        <f>LEN(B622&amp;"")</f>
      </c>
    </row>
    <row r="623">
      <c r="A623" s="2" t="inlineStr">
        <is>
          <t xml:space="preserve">E-0407</t>
        </is>
      </c>
      <c r="B623" s="2">
        <f>DATEDIF(DATE(2020,1,31),DATE(2026,3,1),"MD")</f>
      </c>
      <c r="C623" s="2">
        <f>TYPE(B623)</f>
      </c>
      <c r="D623" s="2">
        <f>IFERROR(ERROR.TYPE(B623),"")</f>
      </c>
      <c r="E623" s="2">
        <f>LEN(B623&amp;"")</f>
      </c>
    </row>
    <row r="624">
      <c r="A624" t="inlineStr">
        <is>
          <t xml:space="preserve">E-0408</t>
        </is>
      </c>
      <c r="B624">
        <f>DATEDIF(DATE(2020,1,15),DATE(2026,10,27),"YM")</f>
      </c>
      <c r="C624">
        <f>TYPE(B624)</f>
      </c>
      <c r="D624">
        <f>IFERROR(ERROR.TYPE(B624),"")</f>
      </c>
      <c r="E624">
        <f>LEN(B624&amp;"")</f>
      </c>
    </row>
    <row r="625">
      <c r="A625" s="2" t="inlineStr">
        <is>
          <t xml:space="preserve">E-0409</t>
        </is>
      </c>
      <c r="B625" s="2">
        <f>DATEDIF(DATE(2020,1,15),DATE(2026,10,27),"YD")</f>
      </c>
      <c r="C625" s="2">
        <f>TYPE(B625)</f>
      </c>
      <c r="D625" s="2">
        <f>IFERROR(ERROR.TYPE(B625),"")</f>
      </c>
      <c r="E625" s="2">
        <f>LEN(B625&amp;"")</f>
      </c>
    </row>
    <row r="626">
      <c r="A626" t="inlineStr">
        <is>
          <t xml:space="preserve">E-0410</t>
        </is>
      </c>
      <c r="B626">
        <f>DATEDIF(DATE(2026,1,1),DATE(2025,1,1),"D")</f>
      </c>
      <c r="C626">
        <f>TYPE(B626)</f>
      </c>
      <c r="D626">
        <f>IFERROR(ERROR.TYPE(B626),"")</f>
      </c>
      <c r="E626">
        <f>LEN(B626&amp;"")</f>
      </c>
    </row>
    <row r="627">
      <c r="A627" s="2" t="inlineStr">
        <is>
          <t xml:space="preserve">E-0411</t>
        </is>
      </c>
      <c r="B627" s="2">
        <f>DATEVALUE("2026-10-27")</f>
      </c>
      <c r="C627" s="2">
        <f>TYPE(B627)</f>
      </c>
      <c r="D627" s="2">
        <f>IFERROR(ERROR.TYPE(B627),"")</f>
      </c>
      <c r="E627" s="2">
        <f>LEN(B627&amp;"")</f>
      </c>
    </row>
    <row r="628">
      <c r="A628" t="inlineStr">
        <is>
          <t xml:space="preserve">E-0412</t>
        </is>
      </c>
      <c r="B628">
        <f>DATEVALUE("10/27/2026")</f>
      </c>
      <c r="C628">
        <f>TYPE(B628)</f>
      </c>
      <c r="D628">
        <f>IFERROR(ERROR.TYPE(B628),"")</f>
      </c>
      <c r="E628">
        <f>LEN(B628&amp;"")</f>
      </c>
    </row>
    <row r="629">
      <c r="A629" s="2" t="inlineStr">
        <is>
          <t xml:space="preserve">E-0413</t>
        </is>
      </c>
      <c r="B629" s="2">
        <f>DATEVALUE("27/10/2026")</f>
      </c>
      <c r="C629" s="2">
        <f>TYPE(B629)</f>
      </c>
      <c r="D629" s="2">
        <f>IFERROR(ERROR.TYPE(B629),"")</f>
      </c>
      <c r="E629" s="2">
        <f>LEN(B629&amp;"")</f>
      </c>
    </row>
    <row r="630">
      <c r="A630" t="inlineStr">
        <is>
          <t xml:space="preserve">E-0414</t>
        </is>
      </c>
      <c r="B630">
        <f>DATEVALUE("Oct 27, 2026")</f>
      </c>
      <c r="C630">
        <f>TYPE(B630)</f>
      </c>
      <c r="D630">
        <f>IFERROR(ERROR.TYPE(B630),"")</f>
      </c>
      <c r="E630">
        <f>LEN(B630&amp;"")</f>
      </c>
    </row>
    <row r="631">
      <c r="A631" s="2" t="inlineStr">
        <is>
          <t xml:space="preserve">E-0415</t>
        </is>
      </c>
      <c r="B631" s="2">
        <f>WEEKDAY(46322)</f>
      </c>
      <c r="C631" s="2">
        <f>TYPE(B631)</f>
      </c>
      <c r="D631" s="2">
        <f>IFERROR(ERROR.TYPE(B631),"")</f>
      </c>
      <c r="E631" s="2">
        <f>LEN(B631&amp;"")</f>
      </c>
    </row>
    <row r="632">
      <c r="A632" t="inlineStr">
        <is>
          <t xml:space="preserve">E-0416</t>
        </is>
      </c>
      <c r="B632">
        <f>WEEKDAY(46322,2)</f>
      </c>
      <c r="C632">
        <f>TYPE(B632)</f>
      </c>
      <c r="D632">
        <f>IFERROR(ERROR.TYPE(B632),"")</f>
      </c>
      <c r="E632">
        <f>LEN(B632&amp;"")</f>
      </c>
    </row>
    <row r="633">
      <c r="A633" s="2" t="inlineStr">
        <is>
          <t xml:space="preserve">E-0417</t>
        </is>
      </c>
      <c r="B633" s="2">
        <f>WEEKDAY(46322,3)</f>
      </c>
      <c r="C633" s="2">
        <f>TYPE(B633)</f>
      </c>
      <c r="D633" s="2">
        <f>IFERROR(ERROR.TYPE(B633),"")</f>
      </c>
      <c r="E633" s="2">
        <f>LEN(B633&amp;"")</f>
      </c>
    </row>
    <row r="634">
      <c r="A634" t="inlineStr">
        <is>
          <t xml:space="preserve">E-0418</t>
        </is>
      </c>
      <c r="B634">
        <f>WEEKDAY(46322,11)</f>
      </c>
      <c r="C634">
        <f>TYPE(B634)</f>
      </c>
      <c r="D634">
        <f>IFERROR(ERROR.TYPE(B634),"")</f>
      </c>
      <c r="E634">
        <f>LEN(B634&amp;"")</f>
      </c>
    </row>
    <row r="635">
      <c r="A635" s="2" t="inlineStr">
        <is>
          <t xml:space="preserve">E-0419</t>
        </is>
      </c>
      <c r="B635" s="2">
        <f>NETWORKDAYS(DATE(2026,10,1),DATE(2026,10,31))</f>
      </c>
      <c r="C635" s="2">
        <f>TYPE(B635)</f>
      </c>
      <c r="D635" s="2">
        <f>IFERROR(ERROR.TYPE(B635),"")</f>
      </c>
      <c r="E635" s="2">
        <f>LEN(B635&amp;"")</f>
      </c>
    </row>
    <row r="636">
      <c r="A636" t="inlineStr">
        <is>
          <t xml:space="preserve">E-0420</t>
        </is>
      </c>
      <c r="B636">
        <f>NETWORKDAYS(DATE(2026,10,1),DATE(2026,10,31),Inputs!I1:I2)</f>
      </c>
      <c r="C636">
        <f>TYPE(B636)</f>
      </c>
      <c r="D636">
        <f>IFERROR(ERROR.TYPE(B636),"")</f>
      </c>
      <c r="E636">
        <f>LEN(B636&amp;"")</f>
      </c>
    </row>
    <row r="637">
      <c r="A637" s="2" t="inlineStr">
        <is>
          <t xml:space="preserve">E-0421</t>
        </is>
      </c>
      <c r="B637" s="2">
        <f>NETWORKDAYS(DATE(2026,10,31),DATE(2026,10,1))</f>
      </c>
      <c r="C637" s="2">
        <f>TYPE(B637)</f>
      </c>
      <c r="D637" s="2">
        <f>IFERROR(ERROR.TYPE(B637),"")</f>
      </c>
      <c r="E637" s="2">
        <f>LEN(B637&amp;"")</f>
      </c>
    </row>
    <row r="638">
      <c r="A638" t="inlineStr">
        <is>
          <t xml:space="preserve">E-0422</t>
        </is>
      </c>
      <c r="B638">
        <f>WORKDAY(DATE(2026,10,30),1)</f>
      </c>
      <c r="C638">
        <f>TYPE(B638)</f>
      </c>
      <c r="D638">
        <f>IFERROR(ERROR.TYPE(B638),"")</f>
      </c>
      <c r="E638">
        <f>LEN(B638&amp;"")</f>
      </c>
    </row>
    <row r="639">
      <c r="A639" s="2" t="inlineStr">
        <is>
          <t xml:space="preserve">E-0423</t>
        </is>
      </c>
      <c r="B639" s="2">
        <f>WORKDAY(DATE(2026,10,30),-5)</f>
      </c>
      <c r="C639" s="2">
        <f>TYPE(B639)</f>
      </c>
      <c r="D639" s="2">
        <f>IFERROR(ERROR.TYPE(B639),"")</f>
      </c>
      <c r="E639" s="2">
        <f>LEN(B639&amp;"")</f>
      </c>
    </row>
    <row r="640">
      <c r="A640" t="inlineStr">
        <is>
          <t xml:space="preserve">E-0424</t>
        </is>
      </c>
      <c r="B640">
        <f>WORKDAY(DATE(2026,10,9),1,Inputs!I1:I2)</f>
      </c>
      <c r="C640">
        <f>TYPE(B640)</f>
      </c>
      <c r="D640">
        <f>IFERROR(ERROR.TYPE(B640),"")</f>
      </c>
      <c r="E640">
        <f>LEN(B640&amp;"")</f>
      </c>
    </row>
    <row r="641">
      <c r="A641" s="2" t="inlineStr">
        <is>
          <t xml:space="preserve">A-0001</t>
        </is>
      </c>
      <c r="B641" s="2">
        <f>SUM(Inputs!X2,Inputs!X3,Inputs!X4)</f>
      </c>
      <c r="C641" s="2">
        <f>TYPE(B641)</f>
      </c>
      <c r="D641" s="2">
        <f>IFERROR(ERROR.TYPE(B641),"")</f>
      </c>
      <c r="E641" s="2">
        <f>LEN(B641&amp;"")</f>
      </c>
    </row>
    <row r="642">
      <c r="A642" t="inlineStr">
        <is>
          <t xml:space="preserve">A-0002</t>
        </is>
      </c>
      <c r="B642">
        <f>IF(Inputs!X1=3,VLOOKUP((Inputs!X2+Inputs!X3+Inputs!X4),Inputs!S1:T5,2,TRUE),VLOOKUP((Inputs!X2+Inputs!X3+Inputs!X4),Inputs!U1:V5,2,TRUE))</f>
      </c>
      <c r="C642">
        <f>TYPE(B642)</f>
      </c>
      <c r="D642">
        <f>IFERROR(ERROR.TYPE(B642),"")</f>
      </c>
      <c r="E642">
        <f>LEN(B642&amp;"")</f>
      </c>
    </row>
    <row r="643">
      <c r="A643" s="2" t="inlineStr">
        <is>
          <t xml:space="preserve">A-0003</t>
        </is>
      </c>
      <c r="B643" s="2">
        <f>IF(Inputs!X1=3,XLOOKUP((Inputs!X2+Inputs!X3+Inputs!X4),INDEX(Inputs!S1:T5,,1),INDEX(Inputs!S1:T5,,2),,-1),XLOOKUP((Inputs!X2+Inputs!X3+Inputs!X4),INDEX(Inputs!U1:V5,,1),INDEX(Inputs!U1:V5,,2),,-1))</f>
      </c>
      <c r="C643" s="2">
        <f>TYPE(B643)</f>
      </c>
      <c r="D643" s="2">
        <f>IFERROR(ERROR.TYPE(B643),"")</f>
      </c>
      <c r="E643" s="2">
        <f>LEN(B643&amp;"")</f>
      </c>
    </row>
    <row r="644">
      <c r="A644" t="inlineStr">
        <is>
          <t xml:space="preserve">A-0004</t>
        </is>
      </c>
      <c r="B644">
        <f>IF(Inputs!X1=3,INDEX(Inputs!S1:T5,MATCH((Inputs!X2+Inputs!X3+Inputs!X4),INDEX(Inputs!S1:T5,,1),1),2),INDEX(Inputs!U1:V5,MATCH((Inputs!X2+Inputs!X3+Inputs!X4),INDEX(Inputs!U1:V5,,1),1),2))</f>
      </c>
      <c r="C644">
        <f>TYPE(B644)</f>
      </c>
      <c r="D644">
        <f>IFERROR(ERROR.TYPE(B644),"")</f>
      </c>
      <c r="E644">
        <f>LEN(B644&amp;"")</f>
      </c>
    </row>
    <row r="645">
      <c r="A645" s="2" t="inlineStr">
        <is>
          <t xml:space="preserve">A-0005</t>
        </is>
      </c>
      <c r="B645" s="2">
        <f>INDEX(Inputs!W1:W5,Inputs!X8)</f>
      </c>
      <c r="C645" s="2">
        <f>TYPE(B645)</f>
      </c>
      <c r="D645" s="2">
        <f>IFERROR(ERROR.TYPE(B645),"")</f>
      </c>
      <c r="E645" s="2">
        <f>LEN(B645&amp;"")</f>
      </c>
    </row>
    <row r="646">
      <c r="A646" t="inlineStr">
        <is>
          <t xml:space="preserve">A-0006</t>
        </is>
      </c>
      <c r="B646">
        <f>(IF(Inputs!X1=3,VLOOKUP((Inputs!X2+Inputs!X3+Inputs!X4),Inputs!S1:T5,2,TRUE),VLOOKUP((Inputs!X2+Inputs!X3+Inputs!X4),Inputs!U1:V5,2,TRUE))+INDEX(Inputs!W1:W5,Inputs!X8))</f>
      </c>
      <c r="C646">
        <f>TYPE(B646)</f>
      </c>
      <c r="D646">
        <f>IFERROR(ERROR.TYPE(B646),"")</f>
      </c>
      <c r="E646">
        <f>LEN(B646&amp;"")</f>
      </c>
    </row>
    <row r="647">
      <c r="A647" s="2" t="inlineStr">
        <is>
          <t xml:space="preserve">A-0007</t>
        </is>
      </c>
      <c r="B647" s="2">
        <f>ROUND(Inputs!X2*Inputs!X5*(1-(IF(Inputs!X1=3,VLOOKUP((Inputs!X2+Inputs!X3+Inputs!X4),Inputs!S1:T5,2,TRUE),VLOOKUP((Inputs!X2+Inputs!X3+Inputs!X4),Inputs!U1:V5,2,TRUE))+INDEX(Inputs!W1:W5,Inputs!X8))),2)</f>
      </c>
      <c r="C647" s="2">
        <f>TYPE(B647)</f>
      </c>
      <c r="D647" s="2">
        <f>IFERROR(ERROR.TYPE(B647),"")</f>
      </c>
      <c r="E647" s="2">
        <f>LEN(B647&amp;"")</f>
      </c>
    </row>
    <row r="648">
      <c r="A648" t="inlineStr">
        <is>
          <t xml:space="preserve">A-0008</t>
        </is>
      </c>
      <c r="B648">
        <f>ROUND(Inputs!X3*Inputs!X6*(1-(IF(Inputs!X1=3,VLOOKUP((Inputs!X2+Inputs!X3+Inputs!X4),Inputs!S1:T5,2,TRUE),VLOOKUP((Inputs!X2+Inputs!X3+Inputs!X4),Inputs!U1:V5,2,TRUE))+INDEX(Inputs!W1:W5,Inputs!X8))),2)</f>
      </c>
      <c r="C648">
        <f>TYPE(B648)</f>
      </c>
      <c r="D648">
        <f>IFERROR(ERROR.TYPE(B648),"")</f>
      </c>
      <c r="E648">
        <f>LEN(B648&amp;"")</f>
      </c>
    </row>
    <row r="649">
      <c r="A649" s="2" t="inlineStr">
        <is>
          <t xml:space="preserve">A-0009</t>
        </is>
      </c>
      <c r="B649" s="2">
        <f>ROUND(Inputs!X4*Inputs!X7*(1-(IF(Inputs!X1=3,VLOOKUP((Inputs!X2+Inputs!X3+Inputs!X4),Inputs!S1:T5,2,TRUE),VLOOKUP((Inputs!X2+Inputs!X3+Inputs!X4),Inputs!U1:V5,2,TRUE))+INDEX(Inputs!W1:W5,Inputs!X8))),2)</f>
      </c>
      <c r="C649" s="2">
        <f>TYPE(B649)</f>
      </c>
      <c r="D649" s="2">
        <f>IFERROR(ERROR.TYPE(B649),"")</f>
      </c>
      <c r="E649" s="2">
        <f>LEN(B649&amp;"")</f>
      </c>
    </row>
    <row r="650">
      <c r="A650" t="inlineStr">
        <is>
          <t xml:space="preserve">A-0010</t>
        </is>
      </c>
      <c r="B650">
        <f>IF(Inputs!X9="entered",Inputs!X10,Inputs!X5+Inputs!X6*N(Inputs!X12)+Inputs!X7*N(Inputs!X13))</f>
      </c>
      <c r="C650">
        <f>TYPE(B650)</f>
      </c>
      <c r="D650">
        <f>IFERROR(ERROR.TYPE(B650),"")</f>
      </c>
      <c r="E650">
        <f>LEN(B650&amp;"")</f>
      </c>
    </row>
    <row r="651">
      <c r="A651" s="2" t="inlineStr">
        <is>
          <t xml:space="preserve">A-0011</t>
        </is>
      </c>
      <c r="B651" s="2">
        <f>IF(Inputs!X9="entered",Inputs!X10,SUMPRODUCT({TRUE,Inputs!X12,Inputs!X13}*1,{Inputs!X5,Inputs!X6,Inputs!X7}))</f>
      </c>
      <c r="C651" s="2">
        <f>TYPE(B651)</f>
      </c>
      <c r="D651" s="2">
        <f>IFERROR(ERROR.TYPE(B651),"")</f>
      </c>
      <c r="E651" s="2">
        <f>LEN(B651&amp;"")</f>
      </c>
    </row>
    <row r="652">
      <c r="A652" t="inlineStr">
        <is>
          <t xml:space="preserve">A-0012</t>
        </is>
      </c>
      <c r="B652">
        <f>ROUND(Inputs!X11*IF(Inputs!X9="entered",Inputs!X10,Inputs!X5+Inputs!X6*N(Inputs!X12)+Inputs!X7*N(Inputs!X13))*(1-(IF(Inputs!X1=3,VLOOKUP((Inputs!X2+Inputs!X3+Inputs!X4),Inputs!S1:T5,2,TRUE),VLOOKUP((Inputs!X2+Inputs!X3+Inputs!X4),Inputs!U1:V5,2,TRUE))+INDEX(Inputs!W1:W5,Inputs!X8))),2)</f>
      </c>
      <c r="C652">
        <f>TYPE(B652)</f>
      </c>
      <c r="D652">
        <f>IFERROR(ERROR.TYPE(B652),"")</f>
      </c>
      <c r="E652">
        <f>LEN(B652&amp;"")</f>
      </c>
    </row>
    <row r="653">
      <c r="A653" s="2" t="inlineStr">
        <is>
          <t xml:space="preserve">A-0013</t>
        </is>
      </c>
      <c r="B653" s="2">
        <f>SUM(ROUND(Inputs!X2*Inputs!X5*(1-(IF(Inputs!X1=3,VLOOKUP((Inputs!X2+Inputs!X3+Inputs!X4),Inputs!S1:T5,2,TRUE),VLOOKUP((Inputs!X2+Inputs!X3+Inputs!X4),Inputs!U1:V5,2,TRUE))+INDEX(Inputs!W1:W5,Inputs!X8))),2),ROUND(Inputs!X3*Inputs!X6*(1-(IF(Inputs!X1=3,VLOOKUP((Inputs!X2+Inputs!X3+Inputs!X4),Inputs!S1:T5,2,TRUE),VLOOKUP((Inputs!X2+Inputs!X3+Inputs!X4),Inputs!U1:V5,2,TRUE))+INDEX(Inputs!W1:W5,Inputs!X8))),2),ROUND(Inputs!X4*Inputs!X7*(1-(IF(Inputs!X1=3,VLOOKUP((Inputs!X2+Inputs!X3+Inputs!X4),Inputs!S1:T5,2,TRUE),VLOOKUP((Inputs!X2+Inputs!X3+Inputs!X4),Inputs!U1:V5,2,TRUE))+INDEX(Inputs!W1:W5,Inputs!X8))),2),ROUND(Inputs!X11*IF(Inputs!X9="entered",Inputs!X10,Inputs!X5+Inputs!X6*N(Inputs!X12)+Inputs!X7*N(Inputs!X13))*(1-(IF(Inputs!X1=3,VLOOKUP((Inputs!X2+Inputs!X3+Inputs!X4),Inputs!S1:T5,2,TRUE),VLOOKUP((Inputs!X2+Inputs!X3+Inputs!X4),Inputs!U1:V5,2,TRUE))+INDEX(Inputs!W1:W5,Inputs!X8))),2))</f>
      </c>
      <c r="C653" s="2">
        <f>TYPE(B653)</f>
      </c>
      <c r="D653" s="2">
        <f>IFERROR(ERROR.TYPE(B653),"")</f>
      </c>
      <c r="E653" s="2">
        <f>LEN(B653&amp;"")</f>
      </c>
    </row>
    <row r="654">
      <c r="A654" t="inlineStr">
        <is>
          <t xml:space="preserve">A-0014</t>
        </is>
      </c>
      <c r="B654">
        <f>SUM(ROUND(Inputs!X2*Inputs!X5*(1-(IF(Inputs!X1=3,VLOOKUP((Inputs!X2+Inputs!X3+Inputs!X4),Inputs!S1:T5,2,TRUE),VLOOKUP((Inputs!X2+Inputs!X3+Inputs!X4),Inputs!U1:V5,2,TRUE))+INDEX(Inputs!W1:W5,Inputs!X8))),2),ROUND(Inputs!X3*Inputs!X6*(1-(IF(Inputs!X1=3,VLOOKUP((Inputs!X2+Inputs!X3+Inputs!X4),Inputs!S1:T5,2,TRUE),VLOOKUP((Inputs!X2+Inputs!X3+Inputs!X4),Inputs!U1:V5,2,TRUE))+INDEX(Inputs!W1:W5,Inputs!X8))),2),ROUND(Inputs!X4*Inputs!X7*(1-(IF(Inputs!X1=3,VLOOKUP((Inputs!X2+Inputs!X3+Inputs!X4),Inputs!S1:T5,2,TRUE),VLOOKUP((Inputs!X2+Inputs!X3+Inputs!X4),Inputs!U1:V5,2,TRUE))+INDEX(Inputs!W1:W5,Inputs!X8))),2),ROUND(Inputs!X11*IF(Inputs!X9="entered",Inputs!X10,Inputs!X5+Inputs!X6*N(Inputs!X12)+Inputs!X7*N(Inputs!X13))*(1-(IF(Inputs!X1=3,VLOOKUP((Inputs!X2+Inputs!X3+Inputs!X4),Inputs!S1:T5,2,TRUE),VLOOKUP((Inputs!X2+Inputs!X3+Inputs!X4),Inputs!U1:V5,2,TRUE))+INDEX(Inputs!W1:W5,Inputs!X8))),2))*Inputs!X1</f>
      </c>
      <c r="C654">
        <f>TYPE(B654)</f>
      </c>
      <c r="D654">
        <f>IFERROR(ERROR.TYPE(B654),"")</f>
      </c>
      <c r="E654">
        <f>LEN(B654&amp;"")</f>
      </c>
    </row>
    <row r="655">
      <c r="A655" s="2" t="inlineStr">
        <is>
          <t xml:space="preserve">A-0015</t>
        </is>
      </c>
      <c r="B655" s="2">
        <f>IF(AND(Inputs!X3+Inputs!X4&gt;0,Inputs!X2=0),"Advanced modules need Core","")</f>
      </c>
      <c r="C655" s="2">
        <f>TYPE(B655)</f>
      </c>
      <c r="D655" s="2">
        <f>IFERROR(ERROR.TYPE(B655),"")</f>
      </c>
      <c r="E655" s="2">
        <f>LEN(B655&amp;"")</f>
      </c>
    </row>
    <row r="656">
      <c r="A656" t="inlineStr">
        <is>
          <t xml:space="preserve">A-0016</t>
        </is>
      </c>
      <c r="B656">
        <f>IF(Inputs!Y1=3,VLOOKUP((Inputs!Y2+Inputs!Y3+Inputs!Y4),Inputs!S1:T5,2,TRUE),VLOOKUP((Inputs!Y2+Inputs!Y3+Inputs!Y4),Inputs!U1:V5,2,TRUE))</f>
      </c>
      <c r="C656">
        <f>TYPE(B656)</f>
      </c>
      <c r="D656">
        <f>IFERROR(ERROR.TYPE(B656),"")</f>
      </c>
      <c r="E656">
        <f>LEN(B656&amp;"")</f>
      </c>
    </row>
    <row r="657">
      <c r="A657" s="2" t="inlineStr">
        <is>
          <t xml:space="preserve">A-0017</t>
        </is>
      </c>
      <c r="B657" s="2">
        <f>IF(Inputs!Y1=3,XLOOKUP((Inputs!Y2+Inputs!Y3+Inputs!Y4),INDEX(Inputs!S1:T5,,1),INDEX(Inputs!S1:T5,,2),,-1),XLOOKUP((Inputs!Y2+Inputs!Y3+Inputs!Y4),INDEX(Inputs!U1:V5,,1),INDEX(Inputs!U1:V5,,2),,-1))</f>
      </c>
      <c r="C657" s="2">
        <f>TYPE(B657)</f>
      </c>
      <c r="D657" s="2">
        <f>IFERROR(ERROR.TYPE(B657),"")</f>
      </c>
      <c r="E657" s="2">
        <f>LEN(B657&amp;"")</f>
      </c>
    </row>
    <row r="658">
      <c r="A658" t="inlineStr">
        <is>
          <t xml:space="preserve">A-0018</t>
        </is>
      </c>
      <c r="B658">
        <f>IF(Inputs!Y1=3,INDEX(Inputs!S1:T5,MATCH((Inputs!Y2+Inputs!Y3+Inputs!Y4),INDEX(Inputs!S1:T5,,1),1),2),INDEX(Inputs!U1:V5,MATCH((Inputs!Y2+Inputs!Y3+Inputs!Y4),INDEX(Inputs!U1:V5,,1),1),2))</f>
      </c>
      <c r="C658">
        <f>TYPE(B658)</f>
      </c>
      <c r="D658">
        <f>IFERROR(ERROR.TYPE(B658),"")</f>
      </c>
      <c r="E658">
        <f>LEN(B658&amp;"")</f>
      </c>
    </row>
    <row r="659">
      <c r="A659" s="2" t="inlineStr">
        <is>
          <t xml:space="preserve">A-0019</t>
        </is>
      </c>
      <c r="B659" s="2">
        <f>(IF(Inputs!Y1=3,VLOOKUP((Inputs!Y2+Inputs!Y3+Inputs!Y4),Inputs!S1:T5,2,TRUE),VLOOKUP((Inputs!Y2+Inputs!Y3+Inputs!Y4),Inputs!U1:V5,2,TRUE))+INDEX(Inputs!W1:W5,Inputs!Y8))</f>
      </c>
      <c r="C659" s="2">
        <f>TYPE(B659)</f>
      </c>
      <c r="D659" s="2">
        <f>IFERROR(ERROR.TYPE(B659),"")</f>
      </c>
      <c r="E659" s="2">
        <f>LEN(B659&amp;"")</f>
      </c>
    </row>
    <row r="660">
      <c r="A660" t="inlineStr">
        <is>
          <t xml:space="preserve">A-0020</t>
        </is>
      </c>
      <c r="B660">
        <f>ROUND(Inputs!Y2*Inputs!Y5*(1-(IF(Inputs!Y1=3,VLOOKUP((Inputs!Y2+Inputs!Y3+Inputs!Y4),Inputs!S1:T5,2,TRUE),VLOOKUP((Inputs!Y2+Inputs!Y3+Inputs!Y4),Inputs!U1:V5,2,TRUE))+INDEX(Inputs!W1:W5,Inputs!Y8))),2)</f>
      </c>
      <c r="C660">
        <f>TYPE(B660)</f>
      </c>
      <c r="D660">
        <f>IFERROR(ERROR.TYPE(B660),"")</f>
      </c>
      <c r="E660">
        <f>LEN(B660&amp;"")</f>
      </c>
    </row>
    <row r="661">
      <c r="A661" s="2" t="inlineStr">
        <is>
          <t xml:space="preserve">A-0021</t>
        </is>
      </c>
      <c r="B661" s="2">
        <f>IF(Inputs!Z1=3,VLOOKUP((Inputs!Z2+Inputs!Z3+Inputs!Z4),Inputs!S1:T5,2,TRUE),VLOOKUP((Inputs!Z2+Inputs!Z3+Inputs!Z4),Inputs!U1:V5,2,TRUE))</f>
      </c>
      <c r="C661" s="2">
        <f>TYPE(B661)</f>
      </c>
      <c r="D661" s="2">
        <f>IFERROR(ERROR.TYPE(B661),"")</f>
      </c>
      <c r="E661" s="2">
        <f>LEN(B661&amp;"")</f>
      </c>
    </row>
    <row r="662">
      <c r="A662" t="inlineStr">
        <is>
          <t xml:space="preserve">A-0022</t>
        </is>
      </c>
      <c r="B662">
        <f>IF(Inputs!Z1=3,XLOOKUP((Inputs!Z2+Inputs!Z3+Inputs!Z4),INDEX(Inputs!S1:T5,,1),INDEX(Inputs!S1:T5,,2),,-1),XLOOKUP((Inputs!Z2+Inputs!Z3+Inputs!Z4),INDEX(Inputs!U1:V5,,1),INDEX(Inputs!U1:V5,,2),,-1))</f>
      </c>
      <c r="C662">
        <f>TYPE(B662)</f>
      </c>
      <c r="D662">
        <f>IFERROR(ERROR.TYPE(B662),"")</f>
      </c>
      <c r="E662">
        <f>LEN(B662&amp;"")</f>
      </c>
    </row>
    <row r="663">
      <c r="A663" s="2" t="inlineStr">
        <is>
          <t xml:space="preserve">A-0023</t>
        </is>
      </c>
      <c r="B663" s="2">
        <f>IF(Inputs!Z1=3,INDEX(Inputs!S1:T5,MATCH((Inputs!Z2+Inputs!Z3+Inputs!Z4),INDEX(Inputs!S1:T5,,1),1),2),INDEX(Inputs!U1:V5,MATCH((Inputs!Z2+Inputs!Z3+Inputs!Z4),INDEX(Inputs!U1:V5,,1),1),2))</f>
      </c>
      <c r="C663" s="2">
        <f>TYPE(B663)</f>
      </c>
      <c r="D663" s="2">
        <f>IFERROR(ERROR.TYPE(B663),"")</f>
      </c>
      <c r="E663" s="2">
        <f>LEN(B663&amp;"")</f>
      </c>
    </row>
    <row r="664">
      <c r="A664" t="inlineStr">
        <is>
          <t xml:space="preserve">A-0024</t>
        </is>
      </c>
      <c r="B664">
        <f>IF(Inputs!AA9="entered",Inputs!AA10,Inputs!AA5+Inputs!AA6*N(Inputs!AA12)+Inputs!AA7*N(Inputs!AA13))</f>
      </c>
      <c r="C664">
        <f>TYPE(B664)</f>
      </c>
      <c r="D664">
        <f>IFERROR(ERROR.TYPE(B664),"")</f>
      </c>
      <c r="E664">
        <f>LEN(B664&amp;"")</f>
      </c>
    </row>
    <row r="665">
      <c r="A665" s="2" t="inlineStr">
        <is>
          <t xml:space="preserve">A-0025</t>
        </is>
      </c>
      <c r="B665" s="2">
        <f>IF(Inputs!AA9="entered",Inputs!AA10,SUMPRODUCT({TRUE,Inputs!AA12,Inputs!AA13}*1,{Inputs!AA5,Inputs!AA6,Inputs!AA7}))</f>
      </c>
      <c r="C665" s="2">
        <f>TYPE(B665)</f>
      </c>
      <c r="D665" s="2">
        <f>IFERROR(ERROR.TYPE(B665),"")</f>
      </c>
      <c r="E665" s="2">
        <f>LEN(B665&amp;"")</f>
      </c>
    </row>
    <row r="666">
      <c r="A666" t="inlineStr">
        <is>
          <t xml:space="preserve">A-0026</t>
        </is>
      </c>
      <c r="B666">
        <f>ROUND(Inputs!AA11*IF(Inputs!AA9="entered",Inputs!AA10,Inputs!AA5+Inputs!AA6*N(Inputs!AA12)+Inputs!AA7*N(Inputs!AA13))*(1-(IF(Inputs!AA1=3,VLOOKUP((Inputs!AA2+Inputs!AA3+Inputs!AA4),Inputs!S1:T5,2,TRUE),VLOOKUP((Inputs!AA2+Inputs!AA3+Inputs!AA4),Inputs!U1:V5,2,TRUE))+INDEX(Inputs!W1:W5,Inputs!AA8))),2)</f>
      </c>
      <c r="C666">
        <f>TYPE(B666)</f>
      </c>
      <c r="D666">
        <f>IFERROR(ERROR.TYPE(B666),"")</f>
      </c>
      <c r="E666">
        <f>LEN(B666&amp;"")</f>
      </c>
    </row>
    <row r="667">
      <c r="A667" s="2" t="inlineStr">
        <is>
          <t xml:space="preserve">A-0027</t>
        </is>
      </c>
      <c r="B667" s="2">
        <f>SUM(Inputs!AB2,Inputs!AB3,Inputs!AB4)</f>
      </c>
      <c r="C667" s="2">
        <f>TYPE(B667)</f>
      </c>
      <c r="D667" s="2">
        <f>IFERROR(ERROR.TYPE(B667),"")</f>
      </c>
      <c r="E667" s="2">
        <f>LEN(B667&amp;"")</f>
      </c>
    </row>
    <row r="668">
      <c r="A668" t="inlineStr">
        <is>
          <t xml:space="preserve">A-0028</t>
        </is>
      </c>
      <c r="B668">
        <f>IF(AND(Inputs!AB3+Inputs!AB4&gt;0,Inputs!AB2=0),"Advanced modules need Core","")</f>
      </c>
      <c r="C668">
        <f>TYPE(B668)</f>
      </c>
      <c r="D668">
        <f>IFERROR(ERROR.TYPE(B668),"")</f>
      </c>
      <c r="E668">
        <f>LEN(B668&amp;"")</f>
      </c>
    </row>
    <row r="669">
      <c r="A669" s="2" t="inlineStr">
        <is>
          <t xml:space="preserve">A-0029</t>
        </is>
      </c>
      <c r="B669" s="2">
        <f>INDEX(Inputs!W1:W5,Inputs!AC8)</f>
      </c>
      <c r="C669" s="2">
        <f>TYPE(B669)</f>
      </c>
      <c r="D669" s="2">
        <f>IFERROR(ERROR.TYPE(B669),"")</f>
      </c>
      <c r="E669" s="2">
        <f>LEN(B669&amp;"")</f>
      </c>
    </row>
    <row r="670">
      <c r="A670" t="inlineStr">
        <is>
          <t xml:space="preserve">A-0030</t>
        </is>
      </c>
      <c r="B670">
        <f>(IF(Inputs!AC1=3,VLOOKUP((Inputs!AC2+Inputs!AC3+Inputs!AC4),Inputs!S1:T5,2,TRUE),VLOOKUP((Inputs!AC2+Inputs!AC3+Inputs!AC4),Inputs!U1:V5,2,TRUE))+INDEX(Inputs!W1:W5,Inputs!AC8))</f>
      </c>
      <c r="C670">
        <f>TYPE(B670)</f>
      </c>
      <c r="D670">
        <f>IFERROR(ERROR.TYPE(B670),"")</f>
      </c>
      <c r="E670">
        <f>LEN(B670&amp;"")</f>
      </c>
    </row>
    <row r="671">
      <c r="A671" s="2" t="inlineStr">
        <is>
          <t xml:space="preserve">A-0031</t>
        </is>
      </c>
      <c r="B671" s="2">
        <f>ROUND(Inputs!AC2*Inputs!AC5*(1-(IF(Inputs!AC1=3,VLOOKUP((Inputs!AC2+Inputs!AC3+Inputs!AC4),Inputs!S1:T5,2,TRUE),VLOOKUP((Inputs!AC2+Inputs!AC3+Inputs!AC4),Inputs!U1:V5,2,TRUE))+INDEX(Inputs!W1:W5,Inputs!AC8))),2)</f>
      </c>
      <c r="C671" s="2">
        <f>TYPE(B671)</f>
      </c>
      <c r="D671" s="2">
        <f>IFERROR(ERROR.TYPE(B671),"")</f>
      </c>
      <c r="E671" s="2">
        <f>LEN(B671&amp;"")</f>
      </c>
    </row>
    <row r="672">
      <c r="A672" t="inlineStr">
        <is>
          <t xml:space="preserve">A-0032</t>
        </is>
      </c>
      <c r="B672">
        <f>IF(Inputs!AD1=3,VLOOKUP((Inputs!AD2+Inputs!AD3+Inputs!AD4),Inputs!S1:T5,2,TRUE),VLOOKUP((Inputs!AD2+Inputs!AD3+Inputs!AD4),Inputs!U1:V5,2,TRUE))</f>
      </c>
      <c r="C672">
        <f>TYPE(B672)</f>
      </c>
      <c r="D672">
        <f>IFERROR(ERROR.TYPE(B672),"")</f>
      </c>
      <c r="E672">
        <f>LEN(B672&amp;"")</f>
      </c>
    </row>
    <row r="673">
      <c r="A673" s="2" t="inlineStr">
        <is>
          <t xml:space="preserve">A-0033</t>
        </is>
      </c>
      <c r="B673" s="2">
        <f>IF(Inputs!AD1=3,XLOOKUP((Inputs!AD2+Inputs!AD3+Inputs!AD4),INDEX(Inputs!S1:T5,,1),INDEX(Inputs!S1:T5,,2),,-1),XLOOKUP((Inputs!AD2+Inputs!AD3+Inputs!AD4),INDEX(Inputs!U1:V5,,1),INDEX(Inputs!U1:V5,,2),,-1))</f>
      </c>
      <c r="C673" s="2">
        <f>TYPE(B673)</f>
      </c>
      <c r="D673" s="2">
        <f>IFERROR(ERROR.TYPE(B673),"")</f>
      </c>
      <c r="E673" s="2">
        <f>LEN(B673&amp;"")</f>
      </c>
    </row>
    <row r="674">
      <c r="A674" t="inlineStr">
        <is>
          <t xml:space="preserve">A-0034</t>
        </is>
      </c>
      <c r="B674">
        <f>IF(Inputs!AD1=3,INDEX(Inputs!S1:T5,MATCH((Inputs!AD2+Inputs!AD3+Inputs!AD4),INDEX(Inputs!S1:T5,,1),1),2),INDEX(Inputs!U1:V5,MATCH((Inputs!AD2+Inputs!AD3+Inputs!AD4),INDEX(Inputs!U1:V5,,1),1),2))</f>
      </c>
      <c r="C674">
        <f>TYPE(B674)</f>
      </c>
      <c r="D674">
        <f>IFERROR(ERROR.TYPE(B674),"")</f>
      </c>
      <c r="E674">
        <f>LEN(B674&amp;"")</f>
      </c>
    </row>
    <row r="675">
      <c r="A675" s="2" t="inlineStr">
        <is>
          <t xml:space="preserve">A-0035</t>
        </is>
      </c>
      <c r="B675" s="2">
        <f>(IF(Inputs!AD1=3,VLOOKUP((Inputs!AD2+Inputs!AD3+Inputs!AD4),Inputs!S1:T5,2,TRUE),VLOOKUP((Inputs!AD2+Inputs!AD3+Inputs!AD4),Inputs!U1:V5,2,TRUE))+INDEX(Inputs!W1:W5,Inputs!AD8))</f>
      </c>
      <c r="C675" s="2">
        <f>TYPE(B675)</f>
      </c>
      <c r="D675" s="2">
        <f>IFERROR(ERROR.TYPE(B675),"")</f>
      </c>
      <c r="E675" s="2">
        <f>LEN(B675&amp;"")</f>
      </c>
    </row>
    <row r="676">
      <c r="A676" t="inlineStr">
        <is>
          <t xml:space="preserve">A-0036</t>
        </is>
      </c>
      <c r="B676">
        <f>SUM(Inputs!AE2,Inputs!AE3,Inputs!AE4)</f>
      </c>
      <c r="C676">
        <f>TYPE(B676)</f>
      </c>
      <c r="D676">
        <f>IFERROR(ERROR.TYPE(B676),"")</f>
      </c>
      <c r="E676">
        <f>LEN(B676&amp;"")</f>
      </c>
    </row>
    <row r="677">
      <c r="A677" s="2" t="inlineStr">
        <is>
          <t xml:space="preserve">A-0037</t>
        </is>
      </c>
      <c r="B677" s="2">
        <f>IF(Inputs!AE1=3,VLOOKUP((Inputs!AE2+Inputs!AE3+Inputs!AE4),Inputs!S1:T5,2,TRUE),VLOOKUP((Inputs!AE2+Inputs!AE3+Inputs!AE4),Inputs!U1:V5,2,TRUE))</f>
      </c>
      <c r="C677" s="2">
        <f>TYPE(B677)</f>
      </c>
      <c r="D677" s="2">
        <f>IFERROR(ERROR.TYPE(B677),"")</f>
      </c>
      <c r="E677" s="2">
        <f>LEN(B677&amp;"")</f>
      </c>
    </row>
    <row r="678">
      <c r="A678" t="inlineStr">
        <is>
          <t xml:space="preserve">A-0038</t>
        </is>
      </c>
      <c r="B678">
        <f>IF(Inputs!AE1=3,XLOOKUP((Inputs!AE2+Inputs!AE3+Inputs!AE4),INDEX(Inputs!S1:T5,,1),INDEX(Inputs!S1:T5,,2),,-1),XLOOKUP((Inputs!AE2+Inputs!AE3+Inputs!AE4),INDEX(Inputs!U1:V5,,1),INDEX(Inputs!U1:V5,,2),,-1))</f>
      </c>
      <c r="C678">
        <f>TYPE(B678)</f>
      </c>
      <c r="D678">
        <f>IFERROR(ERROR.TYPE(B678),"")</f>
      </c>
      <c r="E678">
        <f>LEN(B678&amp;"")</f>
      </c>
    </row>
    <row r="679">
      <c r="A679" s="2" t="inlineStr">
        <is>
          <t xml:space="preserve">A-0039</t>
        </is>
      </c>
      <c r="B679" s="2">
        <f>IF(Inputs!AE1=3,INDEX(Inputs!S1:T5,MATCH((Inputs!AE2+Inputs!AE3+Inputs!AE4),INDEX(Inputs!S1:T5,,1),1),2),INDEX(Inputs!U1:V5,MATCH((Inputs!AE2+Inputs!AE3+Inputs!AE4),INDEX(Inputs!U1:V5,,1),1),2))</f>
      </c>
      <c r="C679" s="2">
        <f>TYPE(B679)</f>
      </c>
      <c r="D679" s="2">
        <f>IFERROR(ERROR.TYPE(B679),"")</f>
      </c>
      <c r="E679" s="2">
        <f>LEN(B679&amp;"")</f>
      </c>
    </row>
    <row r="680">
      <c r="A680" t="inlineStr">
        <is>
          <t xml:space="preserve">A-0040</t>
        </is>
      </c>
      <c r="B680">
        <f>INDEX(Inputs!W1:W5,Inputs!AE8)</f>
      </c>
      <c r="C680">
        <f>TYPE(B680)</f>
      </c>
      <c r="D680">
        <f>IFERROR(ERROR.TYPE(B680),"")</f>
      </c>
      <c r="E680">
        <f>LEN(B680&amp;"")</f>
      </c>
    </row>
    <row r="681">
      <c r="A681" s="2" t="inlineStr">
        <is>
          <t xml:space="preserve">A-0041</t>
        </is>
      </c>
      <c r="B681" s="2">
        <f>(IF(Inputs!AE1=3,VLOOKUP((Inputs!AE2+Inputs!AE3+Inputs!AE4),Inputs!S1:T5,2,TRUE),VLOOKUP((Inputs!AE2+Inputs!AE3+Inputs!AE4),Inputs!U1:V5,2,TRUE))+INDEX(Inputs!W1:W5,Inputs!AE8))</f>
      </c>
      <c r="C681" s="2">
        <f>TYPE(B681)</f>
      </c>
      <c r="D681" s="2">
        <f>IFERROR(ERROR.TYPE(B681),"")</f>
      </c>
      <c r="E681" s="2">
        <f>LEN(B681&amp;"")</f>
      </c>
    </row>
    <row r="682">
      <c r="A682" t="inlineStr">
        <is>
          <t xml:space="preserve">A-0042</t>
        </is>
      </c>
      <c r="B682">
        <f>ROUND(Inputs!AE2*Inputs!AE5*(1-(IF(Inputs!AE1=3,VLOOKUP((Inputs!AE2+Inputs!AE3+Inputs!AE4),Inputs!S1:T5,2,TRUE),VLOOKUP((Inputs!AE2+Inputs!AE3+Inputs!AE4),Inputs!U1:V5,2,TRUE))+INDEX(Inputs!W1:W5,Inputs!AE8))),2)</f>
      </c>
      <c r="C682">
        <f>TYPE(B682)</f>
      </c>
      <c r="D682">
        <f>IFERROR(ERROR.TYPE(B682),"")</f>
      </c>
      <c r="E682">
        <f>LEN(B682&amp;"")</f>
      </c>
    </row>
    <row r="683">
      <c r="A683" s="2" t="inlineStr">
        <is>
          <t xml:space="preserve">A-0043</t>
        </is>
      </c>
      <c r="B683" s="2">
        <f>ROUND(Inputs!AE3*Inputs!AE6*(1-(IF(Inputs!AE1=3,VLOOKUP((Inputs!AE2+Inputs!AE3+Inputs!AE4),Inputs!S1:T5,2,TRUE),VLOOKUP((Inputs!AE2+Inputs!AE3+Inputs!AE4),Inputs!U1:V5,2,TRUE))+INDEX(Inputs!W1:W5,Inputs!AE8))),2)</f>
      </c>
      <c r="C683" s="2">
        <f>TYPE(B683)</f>
      </c>
      <c r="D683" s="2">
        <f>IFERROR(ERROR.TYPE(B683),"")</f>
      </c>
      <c r="E683" s="2">
        <f>LEN(B683&amp;"")</f>
      </c>
    </row>
    <row r="684">
      <c r="A684" t="inlineStr">
        <is>
          <t xml:space="preserve">A-0044</t>
        </is>
      </c>
      <c r="B684">
        <f>ROUND(Inputs!AE4*Inputs!AE7*(1-(IF(Inputs!AE1=3,VLOOKUP((Inputs!AE2+Inputs!AE3+Inputs!AE4),Inputs!S1:T5,2,TRUE),VLOOKUP((Inputs!AE2+Inputs!AE3+Inputs!AE4),Inputs!U1:V5,2,TRUE))+INDEX(Inputs!W1:W5,Inputs!AE8))),2)</f>
      </c>
      <c r="C684">
        <f>TYPE(B684)</f>
      </c>
      <c r="D684">
        <f>IFERROR(ERROR.TYPE(B684),"")</f>
      </c>
      <c r="E684">
        <f>LEN(B684&amp;"")</f>
      </c>
    </row>
    <row r="685">
      <c r="A685" s="2" t="inlineStr">
        <is>
          <t xml:space="preserve">A-0045</t>
        </is>
      </c>
      <c r="B685" s="2">
        <f>IF(Inputs!AE9="entered",Inputs!AE10,Inputs!AE5+Inputs!AE6*N(Inputs!AE12)+Inputs!AE7*N(Inputs!AE13))</f>
      </c>
      <c r="C685" s="2">
        <f>TYPE(B685)</f>
      </c>
      <c r="D685" s="2">
        <f>IFERROR(ERROR.TYPE(B685),"")</f>
      </c>
      <c r="E685" s="2">
        <f>LEN(B685&amp;"")</f>
      </c>
    </row>
    <row r="686">
      <c r="A686" t="inlineStr">
        <is>
          <t xml:space="preserve">A-0046</t>
        </is>
      </c>
      <c r="B686">
        <f>IF(Inputs!AE9="entered",Inputs!AE10,SUMPRODUCT({TRUE,Inputs!AE12,Inputs!AE13}*1,{Inputs!AE5,Inputs!AE6,Inputs!AE7}))</f>
      </c>
      <c r="C686">
        <f>TYPE(B686)</f>
      </c>
      <c r="D686">
        <f>IFERROR(ERROR.TYPE(B686),"")</f>
      </c>
      <c r="E686">
        <f>LEN(B686&amp;"")</f>
      </c>
    </row>
    <row r="687">
      <c r="A687" s="2" t="inlineStr">
        <is>
          <t xml:space="preserve">A-0047</t>
        </is>
      </c>
      <c r="B687" s="2">
        <f>ROUND(Inputs!AE11*IF(Inputs!AE9="entered",Inputs!AE10,Inputs!AE5+Inputs!AE6*N(Inputs!AE12)+Inputs!AE7*N(Inputs!AE13))*(1-(IF(Inputs!AE1=3,VLOOKUP((Inputs!AE2+Inputs!AE3+Inputs!AE4),Inputs!S1:T5,2,TRUE),VLOOKUP((Inputs!AE2+Inputs!AE3+Inputs!AE4),Inputs!U1:V5,2,TRUE))+INDEX(Inputs!W1:W5,Inputs!AE8))),2)</f>
      </c>
      <c r="C687" s="2">
        <f>TYPE(B687)</f>
      </c>
      <c r="D687" s="2">
        <f>IFERROR(ERROR.TYPE(B687),"")</f>
      </c>
      <c r="E687" s="2">
        <f>LEN(B687&amp;"")</f>
      </c>
    </row>
    <row r="688">
      <c r="A688" t="inlineStr">
        <is>
          <t xml:space="preserve">A-0048</t>
        </is>
      </c>
      <c r="B688">
        <f>SUM(ROUND(Inputs!AE2*Inputs!AE5*(1-(IF(Inputs!AE1=3,VLOOKUP((Inputs!AE2+Inputs!AE3+Inputs!AE4),Inputs!S1:T5,2,TRUE),VLOOKUP((Inputs!AE2+Inputs!AE3+Inputs!AE4),Inputs!U1:V5,2,TRUE))+INDEX(Inputs!W1:W5,Inputs!AE8))),2),ROUND(Inputs!AE3*Inputs!AE6*(1-(IF(Inputs!AE1=3,VLOOKUP((Inputs!AE2+Inputs!AE3+Inputs!AE4),Inputs!S1:T5,2,TRUE),VLOOKUP((Inputs!AE2+Inputs!AE3+Inputs!AE4),Inputs!U1:V5,2,TRUE))+INDEX(Inputs!W1:W5,Inputs!AE8))),2),ROUND(Inputs!AE4*Inputs!AE7*(1-(IF(Inputs!AE1=3,VLOOKUP((Inputs!AE2+Inputs!AE3+Inputs!AE4),Inputs!S1:T5,2,TRUE),VLOOKUP((Inputs!AE2+Inputs!AE3+Inputs!AE4),Inputs!U1:V5,2,TRUE))+INDEX(Inputs!W1:W5,Inputs!AE8))),2),ROUND(Inputs!AE11*IF(Inputs!AE9="entered",Inputs!AE10,Inputs!AE5+Inputs!AE6*N(Inputs!AE12)+Inputs!AE7*N(Inputs!AE13))*(1-(IF(Inputs!AE1=3,VLOOKUP((Inputs!AE2+Inputs!AE3+Inputs!AE4),Inputs!S1:T5,2,TRUE),VLOOKUP((Inputs!AE2+Inputs!AE3+Inputs!AE4),Inputs!U1:V5,2,TRUE))+INDEX(Inputs!W1:W5,Inputs!AE8))),2))</f>
      </c>
      <c r="C688">
        <f>TYPE(B688)</f>
      </c>
      <c r="D688">
        <f>IFERROR(ERROR.TYPE(B688),"")</f>
      </c>
      <c r="E688">
        <f>LEN(B688&amp;"")</f>
      </c>
    </row>
    <row r="689">
      <c r="A689" s="2" t="inlineStr">
        <is>
          <t xml:space="preserve">A-0049</t>
        </is>
      </c>
      <c r="B689" s="2">
        <f>SUM(ROUND(Inputs!AE2*Inputs!AE5*(1-(IF(Inputs!AE1=3,VLOOKUP((Inputs!AE2+Inputs!AE3+Inputs!AE4),Inputs!S1:T5,2,TRUE),VLOOKUP((Inputs!AE2+Inputs!AE3+Inputs!AE4),Inputs!U1:V5,2,TRUE))+INDEX(Inputs!W1:W5,Inputs!AE8))),2),ROUND(Inputs!AE3*Inputs!AE6*(1-(IF(Inputs!AE1=3,VLOOKUP((Inputs!AE2+Inputs!AE3+Inputs!AE4),Inputs!S1:T5,2,TRUE),VLOOKUP((Inputs!AE2+Inputs!AE3+Inputs!AE4),Inputs!U1:V5,2,TRUE))+INDEX(Inputs!W1:W5,Inputs!AE8))),2),ROUND(Inputs!AE4*Inputs!AE7*(1-(IF(Inputs!AE1=3,VLOOKUP((Inputs!AE2+Inputs!AE3+Inputs!AE4),Inputs!S1:T5,2,TRUE),VLOOKUP((Inputs!AE2+Inputs!AE3+Inputs!AE4),Inputs!U1:V5,2,TRUE))+INDEX(Inputs!W1:W5,Inputs!AE8))),2),ROUND(Inputs!AE11*IF(Inputs!AE9="entered",Inputs!AE10,Inputs!AE5+Inputs!AE6*N(Inputs!AE12)+Inputs!AE7*N(Inputs!AE13))*(1-(IF(Inputs!AE1=3,VLOOKUP((Inputs!AE2+Inputs!AE3+Inputs!AE4),Inputs!S1:T5,2,TRUE),VLOOKUP((Inputs!AE2+Inputs!AE3+Inputs!AE4),Inputs!U1:V5,2,TRUE))+INDEX(Inputs!W1:W5,Inputs!AE8))),2))*Inputs!AE1</f>
      </c>
      <c r="C689" s="2">
        <f>TYPE(B689)</f>
      </c>
      <c r="D689" s="2">
        <f>IFERROR(ERROR.TYPE(B689),"")</f>
      </c>
      <c r="E689" s="2">
        <f>LEN(B689&amp;"")</f>
      </c>
    </row>
    <row r="690">
      <c r="A690" t="inlineStr">
        <is>
          <t xml:space="preserve">A-0050</t>
        </is>
      </c>
      <c r="B690">
        <f>IF(AND(Inputs!AE3+Inputs!AE4&gt;0,Inputs!AE2=0),"Advanced modules need Core","")</f>
      </c>
      <c r="C690">
        <f>TYPE(B690)</f>
      </c>
      <c r="D690">
        <f>IFERROR(ERROR.TYPE(B690),"")</f>
      </c>
      <c r="E690">
        <f>LEN(B690&amp;"")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>
        <v>10</v>
      </c>
      <c r="B1">
        <v>1</v>
      </c>
      <c r="C1" t="inlineStr">
        <is>
          <t xml:space="preserve">min_qty</t>
        </is>
      </c>
      <c r="D1" t="inlineStr">
        <is>
          <t xml:space="preserve">unit_price</t>
        </is>
      </c>
      <c r="E1">
        <v>30</v>
      </c>
      <c r="F1" t="inlineStr">
        <is>
          <t xml:space="preserve">c</t>
        </is>
      </c>
      <c r="G1" t="inlineStr">
        <is>
          <t xml:space="preserve">apple</t>
        </is>
      </c>
      <c r="H1">
        <v>100</v>
      </c>
      <c r="I1">
        <v>46307</v>
      </c>
      <c r="J1" t="inlineStr">
        <is>
          <t xml:space="preserve">=1+1</t>
        </is>
      </c>
      <c r="K1" t="inlineStr">
        <is>
          <t xml:space="preserve">a</t>
        </is>
      </c>
      <c r="L1" t="inlineStr">
        <is>
          <t xml:space="preserve">b</t>
        </is>
      </c>
      <c r="M1" t="inlineStr">
        <is>
          <t xml:space="preserve">c</t>
        </is>
      </c>
      <c r="N1" t="inlineStr">
        <is>
          <t xml:space="preserve">d</t>
        </is>
      </c>
      <c r="O1"/>
      <c r="P1" t="inlineStr">
        <is>
          <t xml:space="preserve">&gt;=200</t>
        </is>
      </c>
      <c r="Q1">
        <v>0.3</v>
      </c>
      <c r="R1" t="inlineStr">
        <is>
          <t xml:space="preserve">found</t>
        </is>
      </c>
      <c r="S1">
        <v>0</v>
      </c>
      <c r="T1">
        <v>0</v>
      </c>
      <c r="U1">
        <v>0</v>
      </c>
      <c r="V1">
        <v>0.03</v>
      </c>
      <c r="W1">
        <v>0</v>
      </c>
      <c r="X1">
        <v>3</v>
      </c>
      <c r="Y1">
        <v>5</v>
      </c>
      <c r="Z1">
        <v>3</v>
      </c>
      <c r="AA1">
        <v>3</v>
      </c>
      <c r="AB1">
        <v>3</v>
      </c>
      <c r="AC1">
        <v>3</v>
      </c>
      <c r="AD1">
        <v>3</v>
      </c>
      <c r="AE1">
        <v>5</v>
      </c>
    </row>
    <row r="2">
      <c r="A2" s="2" t="inlineStr">
        <is>
          <t xml:space="preserve">20</t>
        </is>
      </c>
      <c r="B2" s="2">
        <v>2</v>
      </c>
      <c r="C2" s="2">
        <v>1</v>
      </c>
      <c r="D2" s="2">
        <v>12.5</v>
      </c>
      <c r="E2" s="2">
        <v>10</v>
      </c>
      <c r="F2" s="2" t="inlineStr">
        <is>
          <t xml:space="preserve">a</t>
        </is>
      </c>
      <c r="G2" s="2" t="inlineStr">
        <is>
          <t xml:space="preserve">Banana</t>
        </is>
      </c>
      <c r="H2" s="2">
        <v>200</v>
      </c>
      <c r="I2" s="2">
        <v>46337</v>
      </c>
      <c r="J2" s="2" t="inlineStr">
        <is>
          <t xml:space="preserve">+1</t>
        </is>
      </c>
      <c r="K2" s="2">
        <v>1</v>
      </c>
      <c r="L2" s="2">
        <v>2</v>
      </c>
      <c r="M2" s="2">
        <v>3</v>
      </c>
      <c r="N2" s="2">
        <v>4</v>
      </c>
      <c r="O2" s="2"/>
      <c r="P2" s="2" t="inlineStr">
        <is>
          <t xml:space="preserve">=SUM(A1)</t>
        </is>
      </c>
      <c r="Q2" s="2"/>
      <c r="R2" s="2"/>
      <c r="S2" s="2">
        <v>25</v>
      </c>
      <c r="T2" s="2">
        <v>0.05</v>
      </c>
      <c r="U2" s="2">
        <v>25</v>
      </c>
      <c r="V2" s="2">
        <v>0.08</v>
      </c>
      <c r="W2" s="2">
        <v>0.05</v>
      </c>
      <c r="X2" s="2">
        <v>30</v>
      </c>
      <c r="Y2" s="2">
        <v>100</v>
      </c>
      <c r="Z2" s="2">
        <v>24</v>
      </c>
      <c r="AA2" s="2">
        <v>10</v>
      </c>
      <c r="AB2" s="2">
        <v>0</v>
      </c>
      <c r="AC2" s="2">
        <v>30</v>
      </c>
      <c r="AD2" s="2">
        <v>50</v>
      </c>
      <c r="AE2" s="2">
        <v>200</v>
      </c>
    </row>
    <row r="3">
      <c r="A3" t="b">
        <v>1</v>
      </c>
      <c r="B3">
        <v>3</v>
      </c>
      <c r="C3">
        <v>50</v>
      </c>
      <c r="D3">
        <v>11</v>
      </c>
      <c r="E3">
        <v>50</v>
      </c>
      <c r="F3" t="inlineStr">
        <is>
          <t xml:space="preserve">e</t>
        </is>
      </c>
      <c r="G3" t="inlineStr">
        <is>
          <t xml:space="preserve">cherry</t>
        </is>
      </c>
      <c r="H3">
        <v>300</v>
      </c>
      <c r="I3"/>
      <c r="J3" t="inlineStr">
        <is>
          <t xml:space="preserve">@SUM(A1)</t>
        </is>
      </c>
      <c r="K3"/>
      <c r="L3"/>
      <c r="M3"/>
      <c r="N3"/>
      <c r="O3"/>
      <c r="P3" t="inlineStr">
        <is>
          <t xml:space="preserve">a*</t>
        </is>
      </c>
      <c r="Q3"/>
      <c r="R3"/>
      <c r="S3">
        <v>50</v>
      </c>
      <c r="T3">
        <v>0.08</v>
      </c>
      <c r="U3">
        <v>50</v>
      </c>
      <c r="V3">
        <v>0.12</v>
      </c>
      <c r="W3">
        <v>0.1</v>
      </c>
      <c r="X3">
        <v>10</v>
      </c>
      <c r="Y3">
        <v>0</v>
      </c>
      <c r="Z3">
        <v>0</v>
      </c>
      <c r="AA3">
        <v>0</v>
      </c>
      <c r="AB3">
        <v>5</v>
      </c>
      <c r="AC3">
        <v>10</v>
      </c>
      <c r="AD3">
        <v>0</v>
      </c>
      <c r="AE3">
        <v>50</v>
      </c>
    </row>
    <row r="4">
      <c r="A4" s="2"/>
      <c r="B4" s="2">
        <v>4</v>
      </c>
      <c r="C4" s="2">
        <v>100</v>
      </c>
      <c r="D4" s="2">
        <v>9.75</v>
      </c>
      <c r="E4" s="2">
        <v>20</v>
      </c>
      <c r="F4" s="2" t="inlineStr">
        <is>
          <t xml:space="preserve">b</t>
        </is>
      </c>
      <c r="G4" s="2" t="inlineStr">
        <is>
          <t xml:space="preserve">apple</t>
        </is>
      </c>
      <c r="H4" s="2">
        <v>400</v>
      </c>
      <c r="I4" s="2"/>
      <c r="J4" s="2" t="inlineStr">
        <is>
          <t xml:space="preserve">-1</t>
        </is>
      </c>
      <c r="K4" s="2"/>
      <c r="L4" s="2"/>
      <c r="M4" s="2"/>
      <c r="N4" s="2"/>
      <c r="O4" s="2"/>
      <c r="P4" s="2" t="inlineStr">
        <is>
          <t xml:space="preserve">0.00</t>
        </is>
      </c>
      <c r="Q4" s="2"/>
      <c r="R4" s="2"/>
      <c r="S4" s="2">
        <v>100</v>
      </c>
      <c r="T4" s="2">
        <v>0.12</v>
      </c>
      <c r="U4" s="2">
        <v>100</v>
      </c>
      <c r="V4" s="2">
        <v>0.16</v>
      </c>
      <c r="W4" s="2">
        <v>0.15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</row>
    <row r="5">
      <c r="A5" t="inlineStr">
        <is>
          <t xml:space="preserve">abc</t>
        </is>
      </c>
      <c r="B5">
        <v>5</v>
      </c>
      <c r="C5">
        <v>500</v>
      </c>
      <c r="D5">
        <v>8.4</v>
      </c>
      <c r="E5">
        <v>40</v>
      </c>
      <c r="F5" t="inlineStr">
        <is>
          <t xml:space="preserve">d</t>
        </is>
      </c>
      <c r="G5"/>
      <c r="H5"/>
      <c r="I5"/>
      <c r="J5" t="inlineStr">
        <is>
          <t xml:space="preserve">	x</t>
        </is>
      </c>
      <c r="K5"/>
      <c r="L5"/>
      <c r="M5"/>
      <c r="N5"/>
      <c r="O5"/>
      <c r="P5"/>
      <c r="Q5"/>
      <c r="R5"/>
      <c r="S5">
        <v>250</v>
      </c>
      <c r="T5">
        <v>0.15</v>
      </c>
      <c r="U5">
        <v>250</v>
      </c>
      <c r="V5">
        <v>0.2</v>
      </c>
      <c r="W5">
        <v>0.2</v>
      </c>
      <c r="X5">
        <v>1000</v>
      </c>
      <c r="Y5">
        <v>1000</v>
      </c>
      <c r="Z5">
        <v>1000</v>
      </c>
      <c r="AA5">
        <v>1000</v>
      </c>
      <c r="AB5">
        <v>1000</v>
      </c>
      <c r="AC5">
        <v>1000</v>
      </c>
      <c r="AD5">
        <v>1000</v>
      </c>
      <c r="AE5">
        <v>1000</v>
      </c>
    </row>
    <row r="6">
      <c r="A6" s="2">
        <v>5</v>
      </c>
      <c r="B6" s="2"/>
      <c r="C6" s="2"/>
      <c r="D6" s="2"/>
      <c r="E6" s="2"/>
      <c r="F6" s="2"/>
      <c r="G6" s="2"/>
      <c r="H6" s="2"/>
      <c r="I6" s="2"/>
      <c r="J6" s="2" t="inlineStr">
        <is>
          <t xml:space="preserve">=HYPERLINK("x")</t>
        </is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>
        <v>400</v>
      </c>
      <c r="Y6" s="2">
        <v>400</v>
      </c>
      <c r="Z6" s="2">
        <v>400</v>
      </c>
      <c r="AA6" s="2">
        <v>400</v>
      </c>
      <c r="AB6" s="2">
        <v>400</v>
      </c>
      <c r="AC6" s="2">
        <v>400</v>
      </c>
      <c r="AD6" s="2">
        <v>400</v>
      </c>
      <c r="AE6" s="2">
        <v>400</v>
      </c>
    </row>
    <row r="7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>
        <v>600</v>
      </c>
      <c r="Y7">
        <v>600</v>
      </c>
      <c r="Z7">
        <v>600</v>
      </c>
      <c r="AA7">
        <v>600</v>
      </c>
      <c r="AB7">
        <v>600</v>
      </c>
      <c r="AC7">
        <v>600</v>
      </c>
      <c r="AD7">
        <v>600</v>
      </c>
      <c r="AE7">
        <v>600</v>
      </c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>
        <v>2</v>
      </c>
      <c r="Y8" s="2">
        <v>1</v>
      </c>
      <c r="Z8" s="2">
        <v>1</v>
      </c>
      <c r="AA8" s="2">
        <v>1</v>
      </c>
      <c r="AB8" s="2">
        <v>1</v>
      </c>
      <c r="AC8" s="2">
        <v>9</v>
      </c>
      <c r="AD8" s="2">
        <v>3</v>
      </c>
      <c r="AE8" s="2">
        <v>5</v>
      </c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 t="inlineStr">
        <is>
          <t xml:space="preserve">entered</t>
        </is>
      </c>
      <c r="Y9" t="inlineStr">
        <is>
          <t xml:space="preserve">entered</t>
        </is>
      </c>
      <c r="Z9" t="inlineStr">
        <is>
          <t xml:space="preserve">entered</t>
        </is>
      </c>
      <c r="AA9" t="inlineStr">
        <is>
          <t xml:space="preserve">derived</t>
        </is>
      </c>
      <c r="AB9" t="inlineStr">
        <is>
          <t xml:space="preserve">entered</t>
        </is>
      </c>
      <c r="AC9" t="inlineStr">
        <is>
          <t xml:space="preserve">entered</t>
        </is>
      </c>
      <c r="AD9" t="inlineStr">
        <is>
          <t xml:space="preserve">entered</t>
        </is>
      </c>
      <c r="AE9" t="inlineStr">
        <is>
          <t xml:space="preserve">derived</t>
        </is>
      </c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>
        <v>200</v>
      </c>
      <c r="Y10" s="2">
        <v>0</v>
      </c>
      <c r="Z10" s="2">
        <v>0</v>
      </c>
      <c r="AA10" s="2">
        <v>0</v>
      </c>
      <c r="AB10" s="2">
        <v>0</v>
      </c>
      <c r="AC10" s="2">
        <v>200</v>
      </c>
      <c r="AD10" s="2">
        <v>0</v>
      </c>
      <c r="AE10" s="2">
        <v>0</v>
      </c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>
        <v>2</v>
      </c>
      <c r="Y11">
        <v>0</v>
      </c>
      <c r="Z11">
        <v>0</v>
      </c>
      <c r="AA11">
        <v>1</v>
      </c>
      <c r="AB11">
        <v>0</v>
      </c>
      <c r="AC11">
        <v>2</v>
      </c>
      <c r="AD11">
        <v>0</v>
      </c>
      <c r="AE11">
        <v>3</v>
      </c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 t="b">
        <v>0</v>
      </c>
      <c r="Y12" s="2" t="b">
        <v>0</v>
      </c>
      <c r="Z12" s="2" t="b">
        <v>0</v>
      </c>
      <c r="AA12" s="2" t="b">
        <v>1</v>
      </c>
      <c r="AB12" s="2" t="b">
        <v>0</v>
      </c>
      <c r="AC12" s="2" t="b">
        <v>0</v>
      </c>
      <c r="AD12" s="2" t="b">
        <v>0</v>
      </c>
      <c r="AE12" s="2" t="b">
        <v>1</v>
      </c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fancy-formula capture workbook v1. Every formula on Cases has NO cached value: Google Sheets computes them all.</t>
        </is>
      </c>
    </row>
    <row r="2">
      <c r="A2" s="2" t="inlineStr">
        <is>
          <t xml:space="preserve">Upload to Google Drive, open as a Google Sheet, set File &gt; Settings: Locale United States, Time zone (GMT+00:00) UTC.</t>
        </is>
      </c>
    </row>
    <row r="3">
      <c r="A3" t="inlineStr">
        <is>
          <t xml:space="preserve">Let it recalculate, then File &gt; Download &gt; Microsoft Excel (.xlsx). Do not edit any cell.</t>
        </is>
      </c>
    </row>
    <row r="4">
      <c r="A4" s="2" t="inlineStr">
        <is>
          <t xml:space="preserve">Record provenance.json beside the export (date, capturer, account type, locale, time zone, export route, sha256 of both files).</t>
        </is>
      </c>
    </row>
    <row r="5">
      <c r="A5" t="inlineStr">
        <is>
          <t xml:space="preserve">scripts/build-formula-cases.py in fancy-conformance refuses an export it cannot trust.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Holy Sheet</Application>
  <DocSecurity>0</DocSecurity>
  <ScaleCrop>false</ScaleCrop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Holy Sheet</dc:creator>
  <cp:lastModifiedBy>Holy Sheet</cp:lastModifiedBy>
  <dcterms:created xsi:type="dcterms:W3CDTF">2026-10-28T06:28:32Z</dcterms:created>
  <dcterms:modified xsi:type="dcterms:W3CDTF">2026-10-28T06:28:32Z</dcterms:modified>
</cp:coreProperties>
</file>